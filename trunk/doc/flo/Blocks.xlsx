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8520"/>
  </bookViews>
  <sheets>
    <sheet name="BlockTypes" sheetId="1" r:id="rId1"/>
    <sheet name="BaseTypes" sheetId="2" r:id="rId2"/>
  </sheets>
  <calcPr calcId="145621"/>
  <fileRecoveryPr repairLoad="1"/>
</workbook>
</file>

<file path=xl/calcChain.xml><?xml version="1.0" encoding="utf-8"?>
<calcChain xmlns="http://schemas.openxmlformats.org/spreadsheetml/2006/main">
  <c r="U54" i="1" l="1"/>
  <c r="W54" i="1" s="1"/>
  <c r="V54" i="1"/>
  <c r="X54" i="1"/>
  <c r="AA54" i="1" s="1"/>
  <c r="Y54" i="1"/>
  <c r="Z54" i="1"/>
  <c r="U55" i="1"/>
  <c r="V55" i="1"/>
  <c r="W55" i="1" s="1"/>
  <c r="X55" i="1"/>
  <c r="Y55" i="1"/>
  <c r="Z55" i="1"/>
  <c r="AA55" i="1"/>
  <c r="U56" i="1"/>
  <c r="W56" i="1" s="1"/>
  <c r="V56" i="1"/>
  <c r="X56" i="1"/>
  <c r="Z56" i="1"/>
  <c r="Y56" i="1" s="1"/>
  <c r="AA56" i="1"/>
  <c r="U57" i="1"/>
  <c r="V57" i="1"/>
  <c r="W57" i="1" s="1"/>
  <c r="X57" i="1"/>
  <c r="AA57" i="1"/>
  <c r="U58" i="1"/>
  <c r="W58" i="1" s="1"/>
  <c r="V58" i="1"/>
  <c r="X58" i="1"/>
  <c r="AA58" i="1"/>
  <c r="U59" i="1"/>
  <c r="W59" i="1" s="1"/>
  <c r="V59" i="1"/>
  <c r="X59" i="1"/>
  <c r="AA59" i="1"/>
  <c r="U60" i="1"/>
  <c r="V60" i="1"/>
  <c r="W60" i="1" s="1"/>
  <c r="X60" i="1"/>
  <c r="AA60" i="1"/>
  <c r="U61" i="1"/>
  <c r="V61" i="1"/>
  <c r="W61" i="1"/>
  <c r="X61" i="1"/>
  <c r="AA61" i="1"/>
  <c r="U62" i="1"/>
  <c r="W62" i="1" s="1"/>
  <c r="V62" i="1"/>
  <c r="X62" i="1"/>
  <c r="AA62" i="1"/>
  <c r="U63" i="1"/>
  <c r="V63" i="1"/>
  <c r="W63" i="1"/>
  <c r="X63" i="1"/>
  <c r="AA63" i="1"/>
  <c r="U64" i="1"/>
  <c r="W64" i="1" s="1"/>
  <c r="V64" i="1"/>
  <c r="X64" i="1"/>
  <c r="AA64" i="1"/>
  <c r="U65" i="1"/>
  <c r="V65" i="1"/>
  <c r="W65" i="1" s="1"/>
  <c r="X65" i="1"/>
  <c r="AA65" i="1"/>
  <c r="U66" i="1"/>
  <c r="W66" i="1" s="1"/>
  <c r="V66" i="1"/>
  <c r="X66" i="1"/>
  <c r="AA66" i="1"/>
  <c r="U67" i="1"/>
  <c r="W67" i="1" s="1"/>
  <c r="V67" i="1"/>
  <c r="X67" i="1"/>
  <c r="AA67" i="1"/>
  <c r="U68" i="1"/>
  <c r="V68" i="1"/>
  <c r="W68" i="1" s="1"/>
  <c r="X68" i="1"/>
  <c r="AA68" i="1"/>
  <c r="U69" i="1"/>
  <c r="V69" i="1"/>
  <c r="W69" i="1"/>
  <c r="X69" i="1"/>
  <c r="AA69" i="1"/>
  <c r="U70" i="1"/>
  <c r="W70" i="1" s="1"/>
  <c r="V70" i="1"/>
  <c r="X70" i="1"/>
  <c r="AA70" i="1"/>
  <c r="U71" i="1"/>
  <c r="V71" i="1"/>
  <c r="W71" i="1"/>
  <c r="X71" i="1"/>
  <c r="AA71" i="1"/>
  <c r="U72" i="1"/>
  <c r="W72" i="1" s="1"/>
  <c r="V72" i="1"/>
  <c r="X72" i="1"/>
  <c r="AA72" i="1"/>
  <c r="U73" i="1"/>
  <c r="V73" i="1"/>
  <c r="W73" i="1" s="1"/>
  <c r="X73" i="1"/>
  <c r="AA73" i="1"/>
  <c r="U74" i="1"/>
  <c r="W74" i="1" s="1"/>
  <c r="V74" i="1"/>
  <c r="X74" i="1"/>
  <c r="AA74" i="1"/>
  <c r="U75" i="1"/>
  <c r="W75" i="1" s="1"/>
  <c r="V75" i="1"/>
  <c r="X75" i="1"/>
  <c r="AA75" i="1"/>
  <c r="U76" i="1"/>
  <c r="V76" i="1"/>
  <c r="W76" i="1" s="1"/>
  <c r="X76" i="1"/>
  <c r="AA76" i="1"/>
  <c r="U77" i="1"/>
  <c r="V77" i="1"/>
  <c r="W77" i="1"/>
  <c r="X77" i="1"/>
  <c r="AA77" i="1"/>
  <c r="U78" i="1"/>
  <c r="V78" i="1"/>
  <c r="W78" i="1" s="1"/>
  <c r="X78" i="1"/>
  <c r="AA78" i="1"/>
  <c r="U79" i="1"/>
  <c r="V79" i="1"/>
  <c r="W79" i="1"/>
  <c r="X79" i="1"/>
  <c r="AA79" i="1"/>
  <c r="U80" i="1"/>
  <c r="W80" i="1" s="1"/>
  <c r="V80" i="1"/>
  <c r="X80" i="1"/>
  <c r="AA80" i="1"/>
  <c r="U81" i="1"/>
  <c r="V81" i="1"/>
  <c r="W81" i="1" s="1"/>
  <c r="X81" i="1"/>
  <c r="AA81" i="1"/>
  <c r="U82" i="1"/>
  <c r="W82" i="1" s="1"/>
  <c r="V82" i="1"/>
  <c r="X82" i="1"/>
  <c r="AA82" i="1"/>
  <c r="U83" i="1"/>
  <c r="W83" i="1" s="1"/>
  <c r="V83" i="1"/>
  <c r="X83" i="1"/>
  <c r="AA83" i="1"/>
  <c r="U84" i="1"/>
  <c r="V84" i="1"/>
  <c r="W84" i="1" s="1"/>
  <c r="X84" i="1"/>
  <c r="AA84" i="1"/>
  <c r="U85" i="1"/>
  <c r="V85" i="1"/>
  <c r="W85" i="1"/>
  <c r="X85" i="1"/>
  <c r="AA85" i="1"/>
  <c r="U86" i="1"/>
  <c r="V86" i="1"/>
  <c r="W86" i="1" s="1"/>
  <c r="X86" i="1"/>
  <c r="AA86" i="1"/>
  <c r="U87" i="1"/>
  <c r="V87" i="1"/>
  <c r="W87" i="1"/>
  <c r="X87" i="1"/>
  <c r="AA87" i="1"/>
  <c r="U88" i="1"/>
  <c r="W88" i="1" s="1"/>
  <c r="V88" i="1"/>
  <c r="X88" i="1"/>
  <c r="AA88" i="1"/>
  <c r="U89" i="1"/>
  <c r="V89" i="1"/>
  <c r="W89" i="1" s="1"/>
  <c r="X89" i="1"/>
  <c r="AA89" i="1"/>
  <c r="U90" i="1"/>
  <c r="W90" i="1" s="1"/>
  <c r="V90" i="1"/>
  <c r="X90" i="1"/>
  <c r="AA90" i="1"/>
  <c r="U91" i="1"/>
  <c r="W91" i="1" s="1"/>
  <c r="V91" i="1"/>
  <c r="X91" i="1"/>
  <c r="AA91" i="1"/>
  <c r="U92" i="1"/>
  <c r="V92" i="1"/>
  <c r="W92" i="1" s="1"/>
  <c r="X92" i="1"/>
  <c r="AA92" i="1"/>
  <c r="U93" i="1"/>
  <c r="V93" i="1"/>
  <c r="W93" i="1"/>
  <c r="X93" i="1"/>
  <c r="AA93" i="1"/>
  <c r="U94" i="1"/>
  <c r="V94" i="1"/>
  <c r="W94" i="1" s="1"/>
  <c r="X94" i="1"/>
  <c r="AA94" i="1"/>
  <c r="U95" i="1"/>
  <c r="V95" i="1"/>
  <c r="W95" i="1"/>
  <c r="X95" i="1"/>
  <c r="AA95" i="1"/>
  <c r="U96" i="1"/>
  <c r="V96" i="1"/>
  <c r="W96" i="1"/>
  <c r="X96" i="1"/>
  <c r="AA96" i="1"/>
  <c r="U97" i="1"/>
  <c r="V97" i="1"/>
  <c r="W97" i="1" s="1"/>
  <c r="X97" i="1"/>
  <c r="AA97" i="1"/>
  <c r="U98" i="1"/>
  <c r="W98" i="1" s="1"/>
  <c r="V98" i="1"/>
  <c r="X98" i="1"/>
  <c r="AA98" i="1"/>
  <c r="U99" i="1"/>
  <c r="W99" i="1" s="1"/>
  <c r="V99" i="1"/>
  <c r="X99" i="1"/>
  <c r="AA99" i="1"/>
  <c r="U100" i="1"/>
  <c r="V100" i="1"/>
  <c r="W100" i="1" s="1"/>
  <c r="X100" i="1"/>
  <c r="AA100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7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3" i="1"/>
  <c r="C81" i="1"/>
  <c r="D81" i="1"/>
  <c r="C82" i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D82" i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O55" i="1"/>
  <c r="T55" i="1"/>
  <c r="O56" i="1"/>
  <c r="T56" i="1"/>
  <c r="O57" i="1"/>
  <c r="T57" i="1"/>
  <c r="O58" i="1"/>
  <c r="T58" i="1"/>
  <c r="O59" i="1"/>
  <c r="T59" i="1"/>
  <c r="O60" i="1"/>
  <c r="T60" i="1"/>
  <c r="O61" i="1"/>
  <c r="T61" i="1"/>
  <c r="O62" i="1"/>
  <c r="T62" i="1"/>
  <c r="O63" i="1"/>
  <c r="T63" i="1"/>
  <c r="O64" i="1"/>
  <c r="T64" i="1"/>
  <c r="O65" i="1"/>
  <c r="T65" i="1"/>
  <c r="O66" i="1"/>
  <c r="T66" i="1"/>
  <c r="O67" i="1"/>
  <c r="T67" i="1"/>
  <c r="O68" i="1"/>
  <c r="T68" i="1"/>
  <c r="O69" i="1"/>
  <c r="T69" i="1"/>
  <c r="O70" i="1"/>
  <c r="T70" i="1"/>
  <c r="O71" i="1"/>
  <c r="T71" i="1"/>
  <c r="O72" i="1"/>
  <c r="T72" i="1"/>
  <c r="O73" i="1"/>
  <c r="T73" i="1"/>
  <c r="O74" i="1"/>
  <c r="T74" i="1"/>
  <c r="O75" i="1"/>
  <c r="T75" i="1"/>
  <c r="O76" i="1"/>
  <c r="T76" i="1"/>
  <c r="O77" i="1"/>
  <c r="T77" i="1"/>
  <c r="O78" i="1"/>
  <c r="T78" i="1"/>
  <c r="O79" i="1"/>
  <c r="T79" i="1"/>
  <c r="O80" i="1"/>
  <c r="T80" i="1"/>
  <c r="O81" i="1"/>
  <c r="T81" i="1"/>
  <c r="O82" i="1"/>
  <c r="T82" i="1"/>
  <c r="O83" i="1"/>
  <c r="T83" i="1"/>
  <c r="O84" i="1"/>
  <c r="T84" i="1"/>
  <c r="O85" i="1"/>
  <c r="T85" i="1"/>
  <c r="O86" i="1"/>
  <c r="T86" i="1"/>
  <c r="O87" i="1"/>
  <c r="T87" i="1"/>
  <c r="O88" i="1"/>
  <c r="T88" i="1"/>
  <c r="O89" i="1"/>
  <c r="T89" i="1"/>
  <c r="O90" i="1"/>
  <c r="T90" i="1"/>
  <c r="O91" i="1"/>
  <c r="T91" i="1"/>
  <c r="O92" i="1"/>
  <c r="T92" i="1"/>
  <c r="O93" i="1"/>
  <c r="T93" i="1"/>
  <c r="O94" i="1"/>
  <c r="T94" i="1"/>
  <c r="O95" i="1"/>
  <c r="T95" i="1"/>
  <c r="O96" i="1"/>
  <c r="T96" i="1"/>
  <c r="O97" i="1"/>
  <c r="T97" i="1"/>
  <c r="O98" i="1"/>
  <c r="T98" i="1"/>
  <c r="O99" i="1"/>
  <c r="T99" i="1"/>
  <c r="O100" i="1"/>
  <c r="T100" i="1"/>
  <c r="C54" i="1"/>
  <c r="D54" i="1"/>
  <c r="C55" i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D55" i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T54" i="1"/>
  <c r="O54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AA26" i="1" s="1"/>
  <c r="X27" i="1"/>
  <c r="X28" i="1"/>
  <c r="AA28" i="1" s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3" i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4" i="1"/>
  <c r="X3" i="1"/>
  <c r="T4" i="1"/>
  <c r="W4" i="1" s="1"/>
  <c r="U4" i="1"/>
  <c r="V4" i="1"/>
  <c r="T5" i="1"/>
  <c r="W5" i="1" s="1"/>
  <c r="U5" i="1"/>
  <c r="V5" i="1"/>
  <c r="T6" i="1"/>
  <c r="W6" i="1" s="1"/>
  <c r="U6" i="1"/>
  <c r="V6" i="1"/>
  <c r="T7" i="1"/>
  <c r="W7" i="1" s="1"/>
  <c r="U7" i="1"/>
  <c r="V7" i="1"/>
  <c r="T8" i="1"/>
  <c r="W8" i="1" s="1"/>
  <c r="U8" i="1"/>
  <c r="V8" i="1"/>
  <c r="T9" i="1"/>
  <c r="W9" i="1" s="1"/>
  <c r="U9" i="1"/>
  <c r="V9" i="1"/>
  <c r="T10" i="1"/>
  <c r="W10" i="1" s="1"/>
  <c r="U10" i="1"/>
  <c r="V10" i="1"/>
  <c r="T11" i="1"/>
  <c r="W11" i="1" s="1"/>
  <c r="U11" i="1"/>
  <c r="V11" i="1"/>
  <c r="T12" i="1"/>
  <c r="W12" i="1" s="1"/>
  <c r="U12" i="1"/>
  <c r="V12" i="1"/>
  <c r="T13" i="1"/>
  <c r="W13" i="1" s="1"/>
  <c r="U13" i="1"/>
  <c r="V13" i="1"/>
  <c r="T14" i="1"/>
  <c r="W14" i="1" s="1"/>
  <c r="U14" i="1"/>
  <c r="V14" i="1"/>
  <c r="T15" i="1"/>
  <c r="W15" i="1" s="1"/>
  <c r="U15" i="1"/>
  <c r="V15" i="1"/>
  <c r="T16" i="1"/>
  <c r="W16" i="1" s="1"/>
  <c r="U16" i="1"/>
  <c r="V16" i="1"/>
  <c r="T17" i="1"/>
  <c r="W17" i="1" s="1"/>
  <c r="U17" i="1"/>
  <c r="V17" i="1"/>
  <c r="T18" i="1"/>
  <c r="W18" i="1" s="1"/>
  <c r="U18" i="1"/>
  <c r="V18" i="1"/>
  <c r="T19" i="1"/>
  <c r="W19" i="1" s="1"/>
  <c r="U19" i="1"/>
  <c r="V19" i="1"/>
  <c r="T20" i="1"/>
  <c r="W20" i="1" s="1"/>
  <c r="U20" i="1"/>
  <c r="V20" i="1"/>
  <c r="T21" i="1"/>
  <c r="W21" i="1" s="1"/>
  <c r="U21" i="1"/>
  <c r="V21" i="1"/>
  <c r="T22" i="1"/>
  <c r="W22" i="1" s="1"/>
  <c r="U22" i="1"/>
  <c r="V22" i="1"/>
  <c r="T23" i="1"/>
  <c r="W23" i="1" s="1"/>
  <c r="U23" i="1"/>
  <c r="V23" i="1"/>
  <c r="T24" i="1"/>
  <c r="W24" i="1" s="1"/>
  <c r="U24" i="1"/>
  <c r="V24" i="1"/>
  <c r="T25" i="1"/>
  <c r="W25" i="1" s="1"/>
  <c r="U25" i="1"/>
  <c r="V25" i="1"/>
  <c r="T26" i="1"/>
  <c r="W26" i="1" s="1"/>
  <c r="U26" i="1"/>
  <c r="V26" i="1"/>
  <c r="T27" i="1"/>
  <c r="W27" i="1" s="1"/>
  <c r="U27" i="1"/>
  <c r="V27" i="1"/>
  <c r="T28" i="1"/>
  <c r="W28" i="1" s="1"/>
  <c r="U28" i="1"/>
  <c r="V28" i="1"/>
  <c r="T29" i="1"/>
  <c r="W29" i="1" s="1"/>
  <c r="U29" i="1"/>
  <c r="V29" i="1"/>
  <c r="T30" i="1"/>
  <c r="W30" i="1" s="1"/>
  <c r="U30" i="1"/>
  <c r="V30" i="1"/>
  <c r="T31" i="1"/>
  <c r="W31" i="1" s="1"/>
  <c r="U31" i="1"/>
  <c r="V31" i="1"/>
  <c r="T32" i="1"/>
  <c r="W32" i="1" s="1"/>
  <c r="U32" i="1"/>
  <c r="V32" i="1"/>
  <c r="T33" i="1"/>
  <c r="W33" i="1" s="1"/>
  <c r="U33" i="1"/>
  <c r="V33" i="1"/>
  <c r="T34" i="1"/>
  <c r="W34" i="1" s="1"/>
  <c r="U34" i="1"/>
  <c r="V34" i="1"/>
  <c r="T35" i="1"/>
  <c r="W35" i="1" s="1"/>
  <c r="U35" i="1"/>
  <c r="V35" i="1"/>
  <c r="T36" i="1"/>
  <c r="W36" i="1" s="1"/>
  <c r="U36" i="1"/>
  <c r="V36" i="1"/>
  <c r="T37" i="1"/>
  <c r="W37" i="1" s="1"/>
  <c r="U37" i="1"/>
  <c r="V37" i="1"/>
  <c r="T38" i="1"/>
  <c r="W38" i="1" s="1"/>
  <c r="U38" i="1"/>
  <c r="V38" i="1"/>
  <c r="T39" i="1"/>
  <c r="W39" i="1" s="1"/>
  <c r="U39" i="1"/>
  <c r="V39" i="1"/>
  <c r="T40" i="1"/>
  <c r="W40" i="1" s="1"/>
  <c r="U40" i="1"/>
  <c r="V40" i="1"/>
  <c r="T41" i="1"/>
  <c r="W41" i="1" s="1"/>
  <c r="U41" i="1"/>
  <c r="V41" i="1"/>
  <c r="T42" i="1"/>
  <c r="W42" i="1" s="1"/>
  <c r="U42" i="1"/>
  <c r="V42" i="1"/>
  <c r="T43" i="1"/>
  <c r="W43" i="1" s="1"/>
  <c r="U43" i="1"/>
  <c r="V43" i="1"/>
  <c r="T44" i="1"/>
  <c r="W44" i="1" s="1"/>
  <c r="U44" i="1"/>
  <c r="V44" i="1"/>
  <c r="T45" i="1"/>
  <c r="W45" i="1" s="1"/>
  <c r="U45" i="1"/>
  <c r="V45" i="1"/>
  <c r="T46" i="1"/>
  <c r="W46" i="1" s="1"/>
  <c r="U46" i="1"/>
  <c r="V46" i="1"/>
  <c r="T47" i="1"/>
  <c r="W47" i="1" s="1"/>
  <c r="U47" i="1"/>
  <c r="V47" i="1"/>
  <c r="T48" i="1"/>
  <c r="W48" i="1" s="1"/>
  <c r="U48" i="1"/>
  <c r="V48" i="1"/>
  <c r="T49" i="1"/>
  <c r="W49" i="1" s="1"/>
  <c r="U49" i="1"/>
  <c r="V49" i="1"/>
  <c r="T50" i="1"/>
  <c r="W50" i="1" s="1"/>
  <c r="U50" i="1"/>
  <c r="V50" i="1"/>
  <c r="T51" i="1"/>
  <c r="W51" i="1" s="1"/>
  <c r="U51" i="1"/>
  <c r="V51" i="1"/>
  <c r="T52" i="1"/>
  <c r="W52" i="1" s="1"/>
  <c r="U52" i="1"/>
  <c r="V52" i="1"/>
  <c r="T53" i="1"/>
  <c r="W53" i="1" s="1"/>
  <c r="U53" i="1"/>
  <c r="V53" i="1"/>
  <c r="W3" i="1"/>
  <c r="V3" i="1"/>
  <c r="U3" i="1"/>
  <c r="T3" i="1"/>
  <c r="S4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3" i="1"/>
  <c r="R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3" i="1"/>
  <c r="P4" i="1"/>
  <c r="Q4" i="1"/>
  <c r="R4" i="1"/>
  <c r="P5" i="1"/>
  <c r="Q5" i="1"/>
  <c r="R5" i="1"/>
  <c r="P6" i="1"/>
  <c r="Q6" i="1"/>
  <c r="R6" i="1"/>
  <c r="P7" i="1"/>
  <c r="Q7" i="1"/>
  <c r="R7" i="1"/>
  <c r="P8" i="1"/>
  <c r="Q8" i="1"/>
  <c r="R8" i="1"/>
  <c r="P9" i="1"/>
  <c r="Q9" i="1"/>
  <c r="R9" i="1"/>
  <c r="P10" i="1"/>
  <c r="Q10" i="1"/>
  <c r="R10" i="1"/>
  <c r="P11" i="1"/>
  <c r="Q11" i="1"/>
  <c r="R11" i="1"/>
  <c r="P12" i="1"/>
  <c r="Q12" i="1"/>
  <c r="R12" i="1"/>
  <c r="P13" i="1"/>
  <c r="Q13" i="1"/>
  <c r="R13" i="1"/>
  <c r="P14" i="1"/>
  <c r="Q14" i="1"/>
  <c r="R14" i="1"/>
  <c r="P15" i="1"/>
  <c r="Q15" i="1"/>
  <c r="R15" i="1"/>
  <c r="P16" i="1"/>
  <c r="Q16" i="1"/>
  <c r="R16" i="1"/>
  <c r="P17" i="1"/>
  <c r="Q17" i="1"/>
  <c r="R17" i="1"/>
  <c r="P18" i="1"/>
  <c r="Q18" i="1"/>
  <c r="R18" i="1"/>
  <c r="P19" i="1"/>
  <c r="Q19" i="1"/>
  <c r="R19" i="1"/>
  <c r="P20" i="1"/>
  <c r="Q20" i="1"/>
  <c r="R20" i="1"/>
  <c r="P21" i="1"/>
  <c r="Q21" i="1"/>
  <c r="R21" i="1"/>
  <c r="P22" i="1"/>
  <c r="Q22" i="1"/>
  <c r="R22" i="1"/>
  <c r="P23" i="1"/>
  <c r="Q23" i="1"/>
  <c r="R23" i="1"/>
  <c r="P24" i="1"/>
  <c r="Q24" i="1"/>
  <c r="R24" i="1"/>
  <c r="P25" i="1"/>
  <c r="Q25" i="1"/>
  <c r="R25" i="1"/>
  <c r="P26" i="1"/>
  <c r="Q26" i="1"/>
  <c r="R26" i="1"/>
  <c r="P27" i="1"/>
  <c r="Q27" i="1"/>
  <c r="R27" i="1"/>
  <c r="P28" i="1"/>
  <c r="Q28" i="1"/>
  <c r="R28" i="1"/>
  <c r="P29" i="1"/>
  <c r="Q29" i="1"/>
  <c r="R29" i="1"/>
  <c r="P30" i="1"/>
  <c r="Q30" i="1"/>
  <c r="R30" i="1"/>
  <c r="P31" i="1"/>
  <c r="Q31" i="1"/>
  <c r="R31" i="1"/>
  <c r="P32" i="1"/>
  <c r="Q32" i="1"/>
  <c r="R32" i="1"/>
  <c r="P33" i="1"/>
  <c r="Q33" i="1"/>
  <c r="R33" i="1"/>
  <c r="P34" i="1"/>
  <c r="Q34" i="1"/>
  <c r="R34" i="1"/>
  <c r="P35" i="1"/>
  <c r="Q35" i="1"/>
  <c r="R35" i="1"/>
  <c r="P36" i="1"/>
  <c r="Q36" i="1"/>
  <c r="R36" i="1"/>
  <c r="P37" i="1"/>
  <c r="Q37" i="1"/>
  <c r="R37" i="1"/>
  <c r="P38" i="1"/>
  <c r="Q38" i="1"/>
  <c r="R38" i="1"/>
  <c r="P39" i="1"/>
  <c r="Q39" i="1"/>
  <c r="R39" i="1"/>
  <c r="P40" i="1"/>
  <c r="Q40" i="1"/>
  <c r="R40" i="1"/>
  <c r="P41" i="1"/>
  <c r="Q41" i="1"/>
  <c r="R41" i="1"/>
  <c r="P42" i="1"/>
  <c r="Q42" i="1"/>
  <c r="R42" i="1"/>
  <c r="P43" i="1"/>
  <c r="Q43" i="1"/>
  <c r="R43" i="1"/>
  <c r="P44" i="1"/>
  <c r="Q44" i="1"/>
  <c r="R44" i="1"/>
  <c r="P45" i="1"/>
  <c r="Q45" i="1"/>
  <c r="R45" i="1"/>
  <c r="P46" i="1"/>
  <c r="Q46" i="1"/>
  <c r="R46" i="1"/>
  <c r="P47" i="1"/>
  <c r="Q47" i="1"/>
  <c r="R47" i="1"/>
  <c r="P48" i="1"/>
  <c r="Q48" i="1"/>
  <c r="R48" i="1"/>
  <c r="P49" i="1"/>
  <c r="Q49" i="1"/>
  <c r="R49" i="1"/>
  <c r="P50" i="1"/>
  <c r="Q50" i="1"/>
  <c r="R50" i="1"/>
  <c r="P51" i="1"/>
  <c r="Q51" i="1"/>
  <c r="R51" i="1"/>
  <c r="P52" i="1"/>
  <c r="Q52" i="1"/>
  <c r="R52" i="1"/>
  <c r="P53" i="1"/>
  <c r="Q53" i="1"/>
  <c r="R53" i="1"/>
  <c r="Q3" i="1"/>
  <c r="P3" i="1"/>
  <c r="D52" i="1"/>
  <c r="D53" i="1" s="1"/>
  <c r="D38" i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37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D32" i="1"/>
  <c r="D33" i="1" s="1"/>
  <c r="D34" i="1" s="1"/>
  <c r="D35" i="1" s="1"/>
  <c r="D36" i="1" s="1"/>
  <c r="D31" i="1"/>
  <c r="D22" i="1"/>
  <c r="D23" i="1" s="1"/>
  <c r="D24" i="1" s="1"/>
  <c r="D25" i="1" s="1"/>
  <c r="D26" i="1" s="1"/>
  <c r="D27" i="1" s="1"/>
  <c r="D28" i="1" s="1"/>
  <c r="D29" i="1" s="1"/>
  <c r="D30" i="1" s="1"/>
  <c r="D20" i="1"/>
  <c r="D21" i="1" s="1"/>
  <c r="D19" i="1"/>
  <c r="D16" i="1"/>
  <c r="D17" i="1" s="1"/>
  <c r="D18" i="1" s="1"/>
  <c r="D15" i="1"/>
  <c r="C15" i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D14" i="1"/>
  <c r="C14" i="1"/>
  <c r="C13" i="1"/>
  <c r="D12" i="1"/>
  <c r="D13" i="1" s="1"/>
  <c r="C12" i="1"/>
  <c r="D11" i="1"/>
  <c r="C11" i="1"/>
  <c r="D10" i="1"/>
  <c r="C10" i="1"/>
  <c r="D8" i="1"/>
  <c r="D9" i="1" s="1"/>
  <c r="D7" i="1"/>
  <c r="C7" i="1"/>
  <c r="C8" i="1" s="1"/>
  <c r="C9" i="1" s="1"/>
  <c r="D6" i="1"/>
  <c r="C6" i="1"/>
  <c r="D4" i="1"/>
  <c r="D5" i="1" s="1"/>
  <c r="D3" i="1"/>
  <c r="C3" i="1"/>
  <c r="C4" i="1" s="1"/>
  <c r="C5" i="1" s="1"/>
  <c r="D2" i="1"/>
  <c r="C2" i="1"/>
  <c r="Z57" i="1" l="1"/>
  <c r="S5" i="1"/>
  <c r="Y57" i="1" l="1"/>
  <c r="Z58" i="1"/>
  <c r="Y58" i="1" l="1"/>
  <c r="Z59" i="1"/>
  <c r="Y59" i="1" l="1"/>
  <c r="Z60" i="1"/>
  <c r="Y60" i="1" l="1"/>
  <c r="Z61" i="1"/>
  <c r="Y61" i="1" l="1"/>
  <c r="Z62" i="1"/>
  <c r="Y62" i="1" l="1"/>
  <c r="Z63" i="1"/>
  <c r="Y63" i="1" l="1"/>
  <c r="Z64" i="1"/>
  <c r="Y64" i="1" l="1"/>
  <c r="Z65" i="1"/>
  <c r="Y65" i="1" l="1"/>
  <c r="Z66" i="1"/>
  <c r="Y66" i="1" l="1"/>
  <c r="Z67" i="1"/>
  <c r="Y67" i="1" l="1"/>
  <c r="Z68" i="1"/>
  <c r="Y68" i="1" l="1"/>
  <c r="Z69" i="1"/>
  <c r="Y69" i="1" l="1"/>
  <c r="Z70" i="1"/>
  <c r="Y70" i="1" l="1"/>
  <c r="Z71" i="1"/>
  <c r="Y71" i="1" l="1"/>
  <c r="Z72" i="1"/>
  <c r="Y72" i="1" l="1"/>
  <c r="Z73" i="1"/>
  <c r="Y73" i="1" l="1"/>
  <c r="Z74" i="1"/>
  <c r="Y74" i="1" l="1"/>
  <c r="Z75" i="1"/>
  <c r="Y75" i="1" l="1"/>
  <c r="Z76" i="1"/>
  <c r="Y76" i="1" l="1"/>
  <c r="Z77" i="1"/>
  <c r="Y77" i="1" l="1"/>
  <c r="Z78" i="1"/>
  <c r="Y78" i="1" l="1"/>
  <c r="Z79" i="1"/>
  <c r="Y79" i="1" l="1"/>
  <c r="Z80" i="1"/>
  <c r="Y80" i="1" l="1"/>
  <c r="Z81" i="1"/>
  <c r="Y81" i="1" l="1"/>
  <c r="Z82" i="1"/>
  <c r="Y82" i="1" l="1"/>
  <c r="Z83" i="1"/>
  <c r="Y83" i="1" l="1"/>
  <c r="Z84" i="1"/>
  <c r="Y84" i="1" l="1"/>
  <c r="Z85" i="1"/>
  <c r="Y85" i="1" l="1"/>
  <c r="Z86" i="1"/>
  <c r="Y86" i="1" l="1"/>
  <c r="Z87" i="1"/>
  <c r="Y87" i="1" l="1"/>
  <c r="Z88" i="1"/>
  <c r="Y88" i="1" l="1"/>
  <c r="Z89" i="1"/>
  <c r="Z90" i="1" l="1"/>
  <c r="Y89" i="1"/>
  <c r="Y90" i="1" l="1"/>
  <c r="Z91" i="1"/>
  <c r="Y91" i="1" l="1"/>
  <c r="Z92" i="1"/>
  <c r="Z93" i="1" l="1"/>
  <c r="Y92" i="1"/>
  <c r="Y93" i="1" l="1"/>
  <c r="Z94" i="1"/>
  <c r="Y94" i="1" l="1"/>
  <c r="Z95" i="1"/>
  <c r="Z96" i="1" l="1"/>
  <c r="Y95" i="1"/>
  <c r="Y96" i="1" l="1"/>
  <c r="Z97" i="1"/>
  <c r="Y97" i="1" l="1"/>
  <c r="Z98" i="1"/>
  <c r="Y98" i="1" l="1"/>
  <c r="Z99" i="1"/>
  <c r="Y99" i="1" l="1"/>
  <c r="Z100" i="1"/>
  <c r="Y100" i="1" s="1"/>
</calcChain>
</file>

<file path=xl/sharedStrings.xml><?xml version="1.0" encoding="utf-8"?>
<sst xmlns="http://schemas.openxmlformats.org/spreadsheetml/2006/main" count="239" uniqueCount="159">
  <si>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</si>
  <si>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</si>
  <si>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</si>
  <si>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</si>
  <si>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</si>
  <si>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</si>
  <si>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</si>
  <si>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</si>
  <si>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</si>
  <si>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</si>
  <si>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</si>
  <si>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</si>
  <si>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</si>
  <si>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</si>
  <si>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</si>
  <si>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</si>
  <si>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</si>
  <si>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</si>
  <si>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</si>
  <si>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</si>
  <si>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</si>
  <si>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</si>
  <si>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</si>
  <si>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</si>
  <si>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</si>
  <si>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</si>
  <si>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</si>
  <si>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</si>
  <si>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varies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</si>
  <si>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</si>
  <si>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</si>
  <si>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</si>
  <si>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</si>
  <si>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</si>
  <si>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</si>
  <si>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</si>
  <si>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</si>
  <si>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</si>
  <si>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</si>
  <si>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</si>
  <si>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</si>
  <si>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</si>
  <si>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</si>
  <si>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</si>
  <si>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</si>
  <si>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</si>
  <si>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</si>
  <si>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</si>
  <si>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</si>
  <si>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</si>
  <si>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</si>
  <si>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</si>
  <si>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</si>
  <si>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</si>
  <si>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</si>
  <si>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</si>
  <si>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</si>
  <si>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</si>
  <si>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</si>
  <si>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</si>
  <si>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</si>
  <si>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</si>
  <si>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</si>
  <si>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</si>
  <si>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</si>
  <si>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</si>
  <si>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</si>
  <si>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</si>
  <si>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</si>
  <si>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</si>
  <si>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</si>
  <si>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</si>
  <si>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</si>
  <si>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</si>
  <si>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</si>
  <si>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</si>
  <si>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</si>
  <si>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</si>
  <si>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</si>
  <si>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</si>
  <si>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</si>
  <si>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</si>
  <si>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</si>
  <si>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</si>
  <si>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</si>
  <si>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</si>
  <si>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</si>
  <si>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</si>
  <si>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</si>
  <si>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</si>
  <si>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</si>
  <si>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</si>
  <si>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</si>
  <si>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</si>
  <si>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</si>
  <si>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</si>
  <si>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</si>
  <si>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</si>
  <si>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</si>
  <si>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gamma</t>
  </si>
  <si>
    <t>Gamma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</si>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</sst>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0" xfId="0" applyFill="1" applyAlignment="1">
      <alignment horizont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8"/>
  <sheetViews>
    <sheetView tabSelected="1" topLeftCell="A20" workbookViewId="0">
      <pane xSplit="21015" ySplit="3855" topLeftCell="A49"/>
      <selection activeCell="E29" sqref="E29"/>
      <selection pane="bottomLeft" activeCell="O56" sqref="O56"/>
      <selection pane="topRight" activeCell="AA3" sqref="AA3"/>
      <selection pane="bottomRight" activeCell="X57" sqref="X57"/>
    </sheetView>
  </sheetViews>
  <sheetFormatPr defaultColWidth="17.140625" defaultRowHeight="12.75" customHeight="1" x14ac:dyDescent="0.2"/>
  <cols>
    <col min="1" max="2" width="17.140625" style="2"/>
    <col min="3" max="4" width="3.85546875" style="1" customWidth="1"/>
    <col min="5" max="5" width="17.140625" style="2"/>
    <col min="6" max="12" width="5.85546875" style="2" customWidth="1"/>
    <col min="13" max="13" width="46.140625" style="2" customWidth="1"/>
    <col min="14" max="14" width="25.7109375" style="2" customWidth="1"/>
    <col min="15" max="18" width="15" style="10" customWidth="1"/>
    <col min="19" max="19" width="32.140625" customWidth="1"/>
    <col min="20" max="22" width="6.7109375" customWidth="1"/>
    <col min="24" max="24" width="32.7109375" customWidth="1"/>
  </cols>
  <sheetData>
    <row r="1" spans="1:27" ht="14.25" customHeight="1" x14ac:dyDescent="0.2">
      <c r="A1" s="2" t="s">
        <v>0</v>
      </c>
      <c r="F1" s="3" t="s">
        <v>1</v>
      </c>
      <c r="G1" s="3"/>
      <c r="H1" s="3"/>
      <c r="I1" s="3"/>
      <c r="J1" s="3" t="s">
        <v>2</v>
      </c>
      <c r="K1" s="3"/>
      <c r="L1" s="3"/>
      <c r="M1" s="2" t="s">
        <v>3</v>
      </c>
      <c r="N1" s="2" t="s">
        <v>4</v>
      </c>
    </row>
    <row r="2" spans="1:2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4"/>
      <c r="J2" s="5"/>
    </row>
    <row r="3" spans="1:2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4"/>
      <c r="J3" s="5" t="s">
        <v>10</v>
      </c>
      <c r="M3" s="2" t="s">
        <v>11</v>
      </c>
      <c r="O3" s="10" t="str">
        <f>"["&amp;IF(RIGHT(F3,5)="(opt)","optional('"&amp;LEFT(F3,LEN(F3)-5)&amp;"')",IF(ISBLANK(F3),"","required('"&amp;F3&amp;"')"))</f>
        <v>[required('Cond')</v>
      </c>
      <c r="P3" s="10" t="str">
        <f>IF(RIGHT(G3,5)="(opt)",", optional('"&amp;LEFT(G3, LEN(G3)-5)&amp;"')",IF(ISBLANK(G3),"",", required('"&amp;G3&amp;"')"))</f>
        <v>, required('A')</v>
      </c>
      <c r="Q3" s="10" t="str">
        <f t="shared" ref="Q3:R3" si="2">IF(RIGHT(H3,5)="(opt)",", optional('"&amp;LEFT(H3, LEN(H3)-5)&amp;"')",IF(ISBLANK(H3),"",", required('"&amp;H3&amp;"')"))</f>
        <v>, required('B')</v>
      </c>
      <c r="R3" s="10" t="str">
        <f t="shared" si="2"/>
        <v/>
      </c>
      <c r="S3" t="str">
        <f>O3&amp;P3&amp;Q3&amp;"]"</f>
        <v>[required('Cond'), required('A'), required('B')]</v>
      </c>
      <c r="T3" s="1" t="str">
        <f>"["&amp;IF(ISBLANK(J3),"", "'"&amp;J3&amp;"'")</f>
        <v>['O'</v>
      </c>
      <c r="U3" t="str">
        <f>IF(ISBLANK(K3),"",", '"&amp;K3&amp;"'")</f>
        <v/>
      </c>
      <c r="V3" t="str">
        <f>IF(ISBLANK(L3),"",", '"&amp;L3&amp;"'")</f>
        <v/>
      </c>
      <c r="W3" t="str">
        <f>T3&amp;U3&amp;V3&amp;"]"</f>
        <v>['O']</v>
      </c>
      <c r="X3" t="str">
        <f>IF(ISBLANK(E3),"","section("&amp;E3&amp;", '"&amp;C3&amp;"').&lt;&gt;subsection("&amp;E3&amp;", '"&amp;D3&amp;"').&lt;&gt;description("&amp;E3&amp;", '"&amp;M3&amp;"').&lt;&gt;visual_style("&amp;E3&amp;",  "&amp;IF(ISBLANK(N3),"normal",Y3))</f>
        <v>section(if, 'Control').&lt;&gt;subsection(if, 'Control').&lt;&gt;description(if, 'If Cond is true, O is A, else O is B').&lt;&gt;visual_style(if,  normal</v>
      </c>
      <c r="Y3" t="str">
        <f>"visual_style"&amp;Z3</f>
        <v>visual_style0</v>
      </c>
      <c r="Z3">
        <v>0</v>
      </c>
      <c r="AA3" t="str">
        <f>IF(ISBLANK(E3),"","&lt;&gt;%  ===== "&amp;E3&amp;" ===========&lt;&gt;"&amp;X3&amp;").&lt;&gt;inputs("&amp;E3&amp;", "&amp;S3&amp;").&lt;&gt;outputs("&amp;E3&amp;", "&amp;W3&amp;").")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</v>
      </c>
    </row>
    <row r="4" spans="1:2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4"/>
      <c r="J4" s="5" t="s">
        <v>10</v>
      </c>
      <c r="M4" s="2" t="s">
        <v>13</v>
      </c>
      <c r="O4" s="10" t="str">
        <f t="shared" ref="O4:O54" si="3">"["&amp;IF(RIGHT(F4,5)="(opt)","optional('"&amp;LEFT(F4,LEN(F4)-5)&amp;"')",IF(ISBLANK(F4),"","required('"&amp;F4&amp;"')"))</f>
        <v>[required('Cond')</v>
      </c>
      <c r="P4" s="10" t="str">
        <f t="shared" ref="P4:P53" si="4">IF(RIGHT(G4,5)="(opt)",", optional('"&amp;LEFT(G4, LEN(G4)-5)&amp;"')",IF(ISBLANK(G4),"",", required('"&amp;G4&amp;"')"))</f>
        <v>, required('A')</v>
      </c>
      <c r="Q4" s="10" t="str">
        <f t="shared" ref="Q4:Q53" si="5">IF(RIGHT(H4,5)="(opt)",", optional('"&amp;LEFT(H4, LEN(H4)-5)&amp;"')",IF(ISBLANK(H4),"",", required('"&amp;H4&amp;"')"))</f>
        <v>, required('B')</v>
      </c>
      <c r="R4" s="10" t="str">
        <f t="shared" ref="R4:R53" si="6">IF(RIGHT(I4,5)="(opt)",", optional('"&amp;LEFT(I4, LEN(I4)-5)&amp;"')",IF(ISBLANK(I4),"",", required('"&amp;I4&amp;"')"))</f>
        <v/>
      </c>
      <c r="S4" t="str">
        <f t="shared" ref="S4:S67" si="7">O4&amp;P4&amp;Q4&amp;"]"</f>
        <v>[required('Cond'), required('A'), required('B')]</v>
      </c>
      <c r="T4" s="1" t="str">
        <f t="shared" ref="T4:T54" si="8">"["&amp;IF(ISBLANK(J4),"", "'"&amp;J4&amp;"'")</f>
        <v>['O'</v>
      </c>
      <c r="U4" t="str">
        <f t="shared" ref="U4:U53" si="9">IF(ISBLANK(K4),"",", '"&amp;K4&amp;"'")</f>
        <v/>
      </c>
      <c r="V4" t="str">
        <f t="shared" ref="V4:V53" si="10">IF(ISBLANK(L4),"",", '"&amp;L4&amp;"'")</f>
        <v/>
      </c>
      <c r="W4" t="str">
        <f t="shared" ref="W4:W53" si="11">T4&amp;U4&amp;V4&amp;"]"</f>
        <v>['O']</v>
      </c>
      <c r="X4" t="str">
        <f t="shared" ref="X4:X53" si="12">IF(ISBLANK(E4),"","section("&amp;E4&amp;", '"&amp;C4&amp;"').&lt;&gt;subsection("&amp;E4&amp;", '"&amp;D4&amp;"').&lt;&gt;description("&amp;E4&amp;", '"&amp;M4&amp;"').&lt;&gt;visual_style("&amp;E4&amp;",  "&amp;IF(ISBLANK(N4),"normal",Y4))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Y4" t="str">
        <f t="shared" ref="Y4:Y67" si="13">"visual_style"&amp;Z4</f>
        <v>visual_style0</v>
      </c>
      <c r="Z4">
        <f>IF(ISBLANK(N3),Z3,Z3+1)</f>
        <v>0</v>
      </c>
      <c r="AA4" t="str">
        <f t="shared" ref="AA4:AA67" si="14">IF(ISBLANK(E4),"","&lt;&gt;%  ===== "&amp;E4&amp;" ===========&lt;&gt;"&amp;X4&amp;").&lt;&gt;inputs("&amp;E4&amp;", "&amp;S4&amp;").&lt;&gt;outputs("&amp;E4&amp;", "&amp;W4&amp;").")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</v>
      </c>
    </row>
    <row r="5" spans="1:2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4"/>
      <c r="J5" s="5" t="s">
        <v>10</v>
      </c>
      <c r="M5" s="2" t="s">
        <v>17</v>
      </c>
      <c r="O5" s="10" t="str">
        <f t="shared" si="3"/>
        <v>[required('J')</v>
      </c>
      <c r="P5" s="10" t="str">
        <f t="shared" si="4"/>
        <v>, required('K')</v>
      </c>
      <c r="Q5" s="10" t="str">
        <f t="shared" si="5"/>
        <v/>
      </c>
      <c r="R5" s="10" t="str">
        <f t="shared" si="6"/>
        <v/>
      </c>
      <c r="S5" t="str">
        <f t="shared" si="7"/>
        <v>[required('J'), required('K')]</v>
      </c>
      <c r="T5" s="1" t="str">
        <f t="shared" si="8"/>
        <v>['O'</v>
      </c>
      <c r="U5" t="str">
        <f t="shared" si="9"/>
        <v/>
      </c>
      <c r="V5" t="str">
        <f t="shared" si="10"/>
        <v/>
      </c>
      <c r="W5" t="str">
        <f t="shared" si="11"/>
        <v>['O']</v>
      </c>
      <c r="X5" t="str">
        <f t="shared" si="12"/>
        <v>section(flipflop, 'Control').&lt;&gt;subsection(flipflop, 'Control').&lt;&gt;description(flipflop, 'a jk flipflop').&lt;&gt;visual_style(flipflop,  normal</v>
      </c>
      <c r="Y5" t="str">
        <f t="shared" si="13"/>
        <v>visual_style0</v>
      </c>
      <c r="Z5">
        <f t="shared" ref="Z5:Z53" si="15">IF(ISBLANK(N4),Z4,Z4+1)</f>
        <v>0</v>
      </c>
      <c r="AA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</v>
      </c>
    </row>
    <row r="6" spans="1:2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4"/>
      <c r="J6" s="5"/>
      <c r="O6" s="10" t="str">
        <f t="shared" si="3"/>
        <v>[</v>
      </c>
      <c r="P6" s="10" t="str">
        <f t="shared" si="4"/>
        <v/>
      </c>
      <c r="Q6" s="10" t="str">
        <f t="shared" si="5"/>
        <v/>
      </c>
      <c r="R6" s="10" t="str">
        <f t="shared" si="6"/>
        <v/>
      </c>
      <c r="S6" t="str">
        <f t="shared" si="7"/>
        <v>[]</v>
      </c>
      <c r="T6" s="1" t="str">
        <f t="shared" si="8"/>
        <v>[</v>
      </c>
      <c r="U6" t="str">
        <f t="shared" si="9"/>
        <v/>
      </c>
      <c r="V6" t="str">
        <f t="shared" si="10"/>
        <v/>
      </c>
      <c r="W6" t="str">
        <f t="shared" si="11"/>
        <v>[]</v>
      </c>
      <c r="X6" t="str">
        <f t="shared" si="12"/>
        <v/>
      </c>
      <c r="Y6" t="str">
        <f t="shared" si="13"/>
        <v>visual_style0</v>
      </c>
      <c r="Z6">
        <f t="shared" si="15"/>
        <v>0</v>
      </c>
      <c r="AA6" t="str">
        <f t="shared" si="14"/>
        <v/>
      </c>
    </row>
    <row r="7" spans="1:2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4"/>
      <c r="J7" s="5" t="s">
        <v>10</v>
      </c>
      <c r="M7" s="2" t="s">
        <v>21</v>
      </c>
      <c r="O7" s="10" t="str">
        <f t="shared" si="3"/>
        <v>[required('A')</v>
      </c>
      <c r="P7" s="10" t="str">
        <f t="shared" si="4"/>
        <v>, required('Default')</v>
      </c>
      <c r="Q7" s="10" t="str">
        <f t="shared" si="5"/>
        <v/>
      </c>
      <c r="R7" s="10" t="str">
        <f t="shared" si="6"/>
        <v/>
      </c>
      <c r="S7" t="str">
        <f t="shared" si="7"/>
        <v>[required('A'), required('Default')]</v>
      </c>
      <c r="T7" s="1" t="str">
        <f t="shared" si="8"/>
        <v>['O'</v>
      </c>
      <c r="U7" t="str">
        <f t="shared" si="9"/>
        <v/>
      </c>
      <c r="V7" t="str">
        <f t="shared" si="10"/>
        <v/>
      </c>
      <c r="W7" t="str">
        <f t="shared" si="11"/>
        <v>['O']</v>
      </c>
      <c r="X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Y7" t="str">
        <f t="shared" si="13"/>
        <v>visual_style0</v>
      </c>
      <c r="Z7">
        <f t="shared" si="15"/>
        <v>0</v>
      </c>
      <c r="AA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</v>
      </c>
    </row>
    <row r="8" spans="1:2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4"/>
      <c r="J8" s="5" t="s">
        <v>10</v>
      </c>
      <c r="M8" s="2" t="s">
        <v>23</v>
      </c>
      <c r="N8" s="2" t="s">
        <v>24</v>
      </c>
      <c r="O8" s="10" t="str">
        <f t="shared" si="3"/>
        <v>[</v>
      </c>
      <c r="P8" s="10" t="str">
        <f t="shared" si="4"/>
        <v/>
      </c>
      <c r="Q8" s="10" t="str">
        <f t="shared" si="5"/>
        <v/>
      </c>
      <c r="R8" s="10" t="str">
        <f t="shared" si="6"/>
        <v/>
      </c>
      <c r="S8" t="str">
        <f t="shared" si="7"/>
        <v>[]</v>
      </c>
      <c r="T8" s="1" t="str">
        <f t="shared" si="8"/>
        <v>['O'</v>
      </c>
      <c r="U8" t="str">
        <f t="shared" si="9"/>
        <v/>
      </c>
      <c r="V8" t="str">
        <f t="shared" si="10"/>
        <v/>
      </c>
      <c r="W8" t="str">
        <f t="shared" si="11"/>
        <v>['O']</v>
      </c>
      <c r="X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Y8" t="str">
        <f t="shared" si="13"/>
        <v>visual_style0</v>
      </c>
      <c r="Z8">
        <f t="shared" si="15"/>
        <v>0</v>
      </c>
      <c r="AA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</v>
      </c>
    </row>
    <row r="9" spans="1:2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4"/>
      <c r="J9" s="5"/>
      <c r="M9" s="2" t="s">
        <v>23</v>
      </c>
      <c r="N9" s="2" t="s">
        <v>24</v>
      </c>
      <c r="O9" s="10" t="str">
        <f t="shared" si="3"/>
        <v>[required('A')</v>
      </c>
      <c r="P9" s="10" t="str">
        <f t="shared" si="4"/>
        <v/>
      </c>
      <c r="Q9" s="10" t="str">
        <f t="shared" si="5"/>
        <v/>
      </c>
      <c r="R9" s="10" t="str">
        <f t="shared" si="6"/>
        <v/>
      </c>
      <c r="S9" t="str">
        <f t="shared" si="7"/>
        <v>[required('A')]</v>
      </c>
      <c r="T9" s="1" t="str">
        <f t="shared" si="8"/>
        <v>[</v>
      </c>
      <c r="U9" t="str">
        <f t="shared" si="9"/>
        <v/>
      </c>
      <c r="V9" t="str">
        <f t="shared" si="10"/>
        <v/>
      </c>
      <c r="W9" t="str">
        <f t="shared" si="11"/>
        <v>[]</v>
      </c>
      <c r="X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Y9" t="str">
        <f t="shared" si="13"/>
        <v>visual_style1</v>
      </c>
      <c r="Z9">
        <f t="shared" si="15"/>
        <v>1</v>
      </c>
      <c r="AA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</v>
      </c>
    </row>
    <row r="10" spans="1:2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4"/>
      <c r="J10" s="5"/>
      <c r="O10" s="10" t="str">
        <f t="shared" si="3"/>
        <v>[</v>
      </c>
      <c r="P10" s="10" t="str">
        <f t="shared" si="4"/>
        <v/>
      </c>
      <c r="Q10" s="10" t="str">
        <f t="shared" si="5"/>
        <v/>
      </c>
      <c r="R10" s="10" t="str">
        <f t="shared" si="6"/>
        <v/>
      </c>
      <c r="S10" t="str">
        <f t="shared" si="7"/>
        <v>[]</v>
      </c>
      <c r="T10" s="1" t="str">
        <f t="shared" si="8"/>
        <v>[</v>
      </c>
      <c r="U10" t="str">
        <f t="shared" si="9"/>
        <v/>
      </c>
      <c r="V10" t="str">
        <f t="shared" si="10"/>
        <v/>
      </c>
      <c r="W10" t="str">
        <f t="shared" si="11"/>
        <v>[]</v>
      </c>
      <c r="X10" t="str">
        <f t="shared" si="12"/>
        <v/>
      </c>
      <c r="Y10" t="str">
        <f t="shared" si="13"/>
        <v>visual_style2</v>
      </c>
      <c r="Z10">
        <f t="shared" si="15"/>
        <v>2</v>
      </c>
      <c r="AA10" t="str">
        <f t="shared" si="14"/>
        <v/>
      </c>
    </row>
    <row r="11" spans="1:2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28</v>
      </c>
      <c r="I11" s="4"/>
      <c r="J11" s="5" t="s">
        <v>10</v>
      </c>
      <c r="M11" s="2" t="s">
        <v>29</v>
      </c>
      <c r="O11" s="10" t="str">
        <f t="shared" si="3"/>
        <v>[required('varies')</v>
      </c>
      <c r="P11" s="10" t="str">
        <f t="shared" si="4"/>
        <v/>
      </c>
      <c r="Q11" s="10" t="str">
        <f t="shared" si="5"/>
        <v/>
      </c>
      <c r="R11" s="10" t="str">
        <f t="shared" si="6"/>
        <v/>
      </c>
      <c r="S11" t="str">
        <f t="shared" si="7"/>
        <v>[required('varies')]</v>
      </c>
      <c r="T11" s="1" t="str">
        <f t="shared" si="8"/>
        <v>['O'</v>
      </c>
      <c r="U11" t="str">
        <f t="shared" si="9"/>
        <v/>
      </c>
      <c r="V11" t="str">
        <f t="shared" si="10"/>
        <v/>
      </c>
      <c r="W11" t="str">
        <f t="shared" si="11"/>
        <v>['O']</v>
      </c>
      <c r="X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Y11" t="str">
        <f t="shared" si="13"/>
        <v>visual_style2</v>
      </c>
      <c r="Z11">
        <f t="shared" si="15"/>
        <v>2</v>
      </c>
      <c r="AA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[required('varies')]).&lt;&gt;outputs(func, ['O']).</v>
      </c>
    </row>
    <row r="12" spans="1:27" ht="14.25" customHeight="1" x14ac:dyDescent="0.2">
      <c r="A12" s="2" t="s">
        <v>30</v>
      </c>
      <c r="C12" s="1" t="str">
        <f t="shared" si="0"/>
        <v>Misc</v>
      </c>
      <c r="D12" s="1" t="str">
        <f t="shared" si="1"/>
        <v>Misc</v>
      </c>
      <c r="I12" s="4"/>
      <c r="J12" s="5"/>
      <c r="O12" s="10" t="str">
        <f t="shared" si="3"/>
        <v>[</v>
      </c>
      <c r="P12" s="10" t="str">
        <f t="shared" si="4"/>
        <v/>
      </c>
      <c r="Q12" s="10" t="str">
        <f t="shared" si="5"/>
        <v/>
      </c>
      <c r="R12" s="10" t="str">
        <f t="shared" si="6"/>
        <v/>
      </c>
      <c r="S12" t="str">
        <f t="shared" si="7"/>
        <v>[]</v>
      </c>
      <c r="T12" s="1" t="str">
        <f t="shared" si="8"/>
        <v>[</v>
      </c>
      <c r="U12" t="str">
        <f t="shared" si="9"/>
        <v/>
      </c>
      <c r="V12" t="str">
        <f t="shared" si="10"/>
        <v/>
      </c>
      <c r="W12" t="str">
        <f t="shared" si="11"/>
        <v>[]</v>
      </c>
      <c r="X12" t="str">
        <f t="shared" si="12"/>
        <v/>
      </c>
      <c r="Y12" t="str">
        <f t="shared" si="13"/>
        <v>visual_style2</v>
      </c>
      <c r="Z12">
        <f t="shared" si="15"/>
        <v>2</v>
      </c>
      <c r="AA12" t="str">
        <f t="shared" si="14"/>
        <v/>
      </c>
    </row>
    <row r="13" spans="1:2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31</v>
      </c>
      <c r="F13" s="2" t="s">
        <v>8</v>
      </c>
      <c r="I13" s="4"/>
      <c r="J13" s="5" t="s">
        <v>10</v>
      </c>
      <c r="M13" s="2" t="s">
        <v>32</v>
      </c>
      <c r="O13" s="10" t="str">
        <f t="shared" si="3"/>
        <v>[required('A')</v>
      </c>
      <c r="P13" s="10" t="str">
        <f t="shared" si="4"/>
        <v/>
      </c>
      <c r="Q13" s="10" t="str">
        <f t="shared" si="5"/>
        <v/>
      </c>
      <c r="R13" s="10" t="str">
        <f t="shared" si="6"/>
        <v/>
      </c>
      <c r="S13" t="str">
        <f t="shared" si="7"/>
        <v>[required('A')]</v>
      </c>
      <c r="T13" s="1" t="str">
        <f t="shared" si="8"/>
        <v>['O'</v>
      </c>
      <c r="U13" t="str">
        <f t="shared" si="9"/>
        <v/>
      </c>
      <c r="V13" t="str">
        <f t="shared" si="10"/>
        <v/>
      </c>
      <c r="W13" t="str">
        <f t="shared" si="11"/>
        <v>['O']</v>
      </c>
      <c r="X13" t="str">
        <f t="shared" si="12"/>
        <v>section(delay, 'Misc').&lt;&gt;subsection(delay, 'Misc').&lt;&gt;description(delay, 'O is the previous stable value of A').&lt;&gt;visual_style(delay,  normal</v>
      </c>
      <c r="Y13" t="str">
        <f t="shared" si="13"/>
        <v>visual_style2</v>
      </c>
      <c r="Z13">
        <f t="shared" si="15"/>
        <v>2</v>
      </c>
      <c r="AA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</v>
      </c>
    </row>
    <row r="14" spans="1:27" ht="14.25" customHeight="1" x14ac:dyDescent="0.2">
      <c r="A14" s="2" t="s">
        <v>33</v>
      </c>
      <c r="C14" s="1" t="str">
        <f t="shared" si="0"/>
        <v>I/O</v>
      </c>
      <c r="D14" s="1" t="str">
        <f t="shared" si="1"/>
        <v>I/O</v>
      </c>
      <c r="I14" s="4"/>
      <c r="J14" s="5"/>
      <c r="O14" s="10" t="str">
        <f t="shared" si="3"/>
        <v>[</v>
      </c>
      <c r="P14" s="10" t="str">
        <f t="shared" si="4"/>
        <v/>
      </c>
      <c r="Q14" s="10" t="str">
        <f t="shared" si="5"/>
        <v/>
      </c>
      <c r="R14" s="10" t="str">
        <f t="shared" si="6"/>
        <v/>
      </c>
      <c r="S14" t="str">
        <f t="shared" si="7"/>
        <v>[]</v>
      </c>
      <c r="T14" s="1" t="str">
        <f t="shared" si="8"/>
        <v>[</v>
      </c>
      <c r="U14" t="str">
        <f t="shared" si="9"/>
        <v/>
      </c>
      <c r="V14" t="str">
        <f t="shared" si="10"/>
        <v/>
      </c>
      <c r="W14" t="str">
        <f t="shared" si="11"/>
        <v>[]</v>
      </c>
      <c r="X14" t="str">
        <f t="shared" si="12"/>
        <v/>
      </c>
      <c r="Y14" t="str">
        <f t="shared" si="13"/>
        <v>visual_style2</v>
      </c>
      <c r="Z14">
        <f t="shared" si="15"/>
        <v>2</v>
      </c>
      <c r="AA14" t="str">
        <f t="shared" si="14"/>
        <v/>
      </c>
    </row>
    <row r="15" spans="1:27" ht="14.25" customHeight="1" x14ac:dyDescent="0.2">
      <c r="B15" s="2" t="s">
        <v>34</v>
      </c>
      <c r="C15" s="1" t="str">
        <f t="shared" si="0"/>
        <v>I/O</v>
      </c>
      <c r="D15" s="1" t="str">
        <f t="shared" si="1"/>
        <v>scalar</v>
      </c>
      <c r="I15" s="4"/>
      <c r="J15" s="5"/>
      <c r="O15" s="10" t="str">
        <f t="shared" si="3"/>
        <v>[</v>
      </c>
      <c r="P15" s="10" t="str">
        <f t="shared" si="4"/>
        <v/>
      </c>
      <c r="Q15" s="10" t="str">
        <f t="shared" si="5"/>
        <v/>
      </c>
      <c r="R15" s="10" t="str">
        <f t="shared" si="6"/>
        <v/>
      </c>
      <c r="S15" t="str">
        <f t="shared" si="7"/>
        <v>[]</v>
      </c>
      <c r="T15" s="1" t="str">
        <f t="shared" si="8"/>
        <v>[</v>
      </c>
      <c r="U15" t="str">
        <f t="shared" si="9"/>
        <v/>
      </c>
      <c r="V15" t="str">
        <f t="shared" si="10"/>
        <v/>
      </c>
      <c r="W15" t="str">
        <f t="shared" si="11"/>
        <v>[]</v>
      </c>
      <c r="X15" t="str">
        <f t="shared" si="12"/>
        <v/>
      </c>
      <c r="Y15" t="str">
        <f t="shared" si="13"/>
        <v>visual_style2</v>
      </c>
      <c r="Z15">
        <f t="shared" si="15"/>
        <v>2</v>
      </c>
      <c r="AA15" t="str">
        <f t="shared" si="14"/>
        <v/>
      </c>
    </row>
    <row r="16" spans="1:2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35</v>
      </c>
      <c r="I16" s="4"/>
      <c r="J16" s="5" t="s">
        <v>10</v>
      </c>
      <c r="M16" s="2" t="s">
        <v>36</v>
      </c>
      <c r="N16" s="2" t="s">
        <v>37</v>
      </c>
      <c r="O16" s="10" t="str">
        <f t="shared" si="3"/>
        <v>[</v>
      </c>
      <c r="P16" s="10" t="str">
        <f t="shared" si="4"/>
        <v/>
      </c>
      <c r="Q16" s="10" t="str">
        <f t="shared" si="5"/>
        <v/>
      </c>
      <c r="R16" s="10" t="str">
        <f t="shared" si="6"/>
        <v/>
      </c>
      <c r="S16" t="str">
        <f t="shared" si="7"/>
        <v>[]</v>
      </c>
      <c r="T16" s="1" t="str">
        <f t="shared" si="8"/>
        <v>['O'</v>
      </c>
      <c r="U16" t="str">
        <f t="shared" si="9"/>
        <v/>
      </c>
      <c r="V16" t="str">
        <f t="shared" si="10"/>
        <v/>
      </c>
      <c r="W16" t="str">
        <f t="shared" si="11"/>
        <v>['O']</v>
      </c>
      <c r="X16" t="str">
        <f t="shared" si="12"/>
        <v>section(pulse, 'I/O').&lt;&gt;subsection(pulse, 'scalar').&lt;&gt;description(pulse, 'Is 1 on the next frame after mouseup').&lt;&gt;visual_style(pulse,  visual_style2</v>
      </c>
      <c r="Y16" t="str">
        <f t="shared" si="13"/>
        <v>visual_style2</v>
      </c>
      <c r="Z16">
        <f t="shared" si="15"/>
        <v>2</v>
      </c>
      <c r="AA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</v>
      </c>
    </row>
    <row r="17" spans="2:2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38</v>
      </c>
      <c r="I17" s="4"/>
      <c r="J17" s="5" t="s">
        <v>10</v>
      </c>
      <c r="M17" s="2" t="s">
        <v>39</v>
      </c>
      <c r="N17" s="2" t="s">
        <v>40</v>
      </c>
      <c r="O17" s="10" t="str">
        <f t="shared" si="3"/>
        <v>[</v>
      </c>
      <c r="P17" s="10" t="str">
        <f t="shared" si="4"/>
        <v/>
      </c>
      <c r="Q17" s="10" t="str">
        <f t="shared" si="5"/>
        <v/>
      </c>
      <c r="R17" s="10" t="str">
        <f t="shared" si="6"/>
        <v/>
      </c>
      <c r="S17" t="str">
        <f t="shared" si="7"/>
        <v>[]</v>
      </c>
      <c r="T17" s="1" t="str">
        <f t="shared" si="8"/>
        <v>['O'</v>
      </c>
      <c r="U17" t="str">
        <f t="shared" si="9"/>
        <v/>
      </c>
      <c r="V17" t="str">
        <f t="shared" si="10"/>
        <v/>
      </c>
      <c r="W17" t="str">
        <f t="shared" si="11"/>
        <v>['O']</v>
      </c>
      <c r="X17" t="str">
        <f t="shared" si="12"/>
        <v>section(proportion, 'I/O').&lt;&gt;subsection(proportion, 'scalar').&lt;&gt;description(proportion, 'slider value from 0-1').&lt;&gt;visual_style(proportion,  visual_style3</v>
      </c>
      <c r="Y17" t="str">
        <f t="shared" si="13"/>
        <v>visual_style3</v>
      </c>
      <c r="Z17">
        <f t="shared" si="15"/>
        <v>3</v>
      </c>
      <c r="AA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</v>
      </c>
    </row>
    <row r="18" spans="2:2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41</v>
      </c>
      <c r="I18" s="4"/>
      <c r="J18" s="5" t="s">
        <v>10</v>
      </c>
      <c r="M18" s="2" t="s">
        <v>42</v>
      </c>
      <c r="N18" s="2" t="s">
        <v>43</v>
      </c>
      <c r="O18" s="10" t="str">
        <f t="shared" si="3"/>
        <v>[</v>
      </c>
      <c r="P18" s="10" t="str">
        <f t="shared" si="4"/>
        <v/>
      </c>
      <c r="Q18" s="10" t="str">
        <f t="shared" si="5"/>
        <v/>
      </c>
      <c r="R18" s="10" t="str">
        <f t="shared" si="6"/>
        <v/>
      </c>
      <c r="S18" t="str">
        <f t="shared" si="7"/>
        <v>[]</v>
      </c>
      <c r="T18" s="1" t="str">
        <f t="shared" si="8"/>
        <v>['O'</v>
      </c>
      <c r="U18" t="str">
        <f t="shared" si="9"/>
        <v/>
      </c>
      <c r="V18" t="str">
        <f t="shared" si="10"/>
        <v/>
      </c>
      <c r="W18" t="str">
        <f t="shared" si="11"/>
        <v>['O']</v>
      </c>
      <c r="X18" t="str">
        <f t="shared" si="12"/>
        <v>section(floatval, 'I/O').&lt;&gt;subsection(floatval, 'scalar').&lt;&gt;description(floatval, 'float').&lt;&gt;visual_style(floatval,  visual_style4</v>
      </c>
      <c r="Y18" t="str">
        <f t="shared" si="13"/>
        <v>visual_style4</v>
      </c>
      <c r="Z18">
        <f t="shared" si="15"/>
        <v>4</v>
      </c>
      <c r="AA18" t="str">
        <f t="shared" si="14"/>
        <v>&lt;&gt;%  ===== floatval ===========&lt;&gt;section(floatval, 'I/O').&lt;&gt;subsection(floatval, 'scalar').&lt;&gt;description(floatval, 'float').&lt;&gt;visual_style(floatval,  visual_style4).&lt;&gt;inputs(floatval, []).&lt;&gt;outputs(floatval, ['O']).</v>
      </c>
    </row>
    <row r="19" spans="2:27" ht="14.25" customHeight="1" x14ac:dyDescent="0.2">
      <c r="B19" s="2" t="s">
        <v>44</v>
      </c>
      <c r="C19" s="1" t="str">
        <f t="shared" si="0"/>
        <v>I/O</v>
      </c>
      <c r="D19" s="1" t="str">
        <f t="shared" si="1"/>
        <v>sound</v>
      </c>
      <c r="I19" s="4"/>
      <c r="J19" s="5"/>
      <c r="O19" s="10" t="str">
        <f t="shared" si="3"/>
        <v>[</v>
      </c>
      <c r="P19" s="10" t="str">
        <f t="shared" si="4"/>
        <v/>
      </c>
      <c r="Q19" s="10" t="str">
        <f t="shared" si="5"/>
        <v/>
      </c>
      <c r="R19" s="10" t="str">
        <f t="shared" si="6"/>
        <v/>
      </c>
      <c r="S19" t="str">
        <f t="shared" si="7"/>
        <v>[]</v>
      </c>
      <c r="T19" s="1" t="str">
        <f t="shared" si="8"/>
        <v>[</v>
      </c>
      <c r="U19" t="str">
        <f t="shared" si="9"/>
        <v/>
      </c>
      <c r="V19" t="str">
        <f t="shared" si="10"/>
        <v/>
      </c>
      <c r="W19" t="str">
        <f t="shared" si="11"/>
        <v>[]</v>
      </c>
      <c r="X19" t="str">
        <f t="shared" si="12"/>
        <v/>
      </c>
      <c r="Y19" t="str">
        <f t="shared" si="13"/>
        <v>visual_style5</v>
      </c>
      <c r="Z19">
        <f t="shared" si="15"/>
        <v>5</v>
      </c>
      <c r="AA19" t="str">
        <f t="shared" si="14"/>
        <v/>
      </c>
    </row>
    <row r="20" spans="2:2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45</v>
      </c>
      <c r="I20" s="4"/>
      <c r="J20" s="5" t="s">
        <v>10</v>
      </c>
      <c r="M20" s="2" t="s">
        <v>46</v>
      </c>
      <c r="O20" s="10" t="str">
        <f t="shared" si="3"/>
        <v>[</v>
      </c>
      <c r="P20" s="10" t="str">
        <f t="shared" si="4"/>
        <v/>
      </c>
      <c r="Q20" s="10" t="str">
        <f t="shared" si="5"/>
        <v/>
      </c>
      <c r="R20" s="10" t="str">
        <f t="shared" si="6"/>
        <v/>
      </c>
      <c r="S20" t="str">
        <f t="shared" si="7"/>
        <v>[]</v>
      </c>
      <c r="T20" s="1" t="str">
        <f t="shared" si="8"/>
        <v>['O'</v>
      </c>
      <c r="U20" t="str">
        <f t="shared" si="9"/>
        <v/>
      </c>
      <c r="V20" t="str">
        <f t="shared" si="10"/>
        <v/>
      </c>
      <c r="W20" t="str">
        <f t="shared" si="11"/>
        <v>['O']</v>
      </c>
      <c r="X20" t="str">
        <f t="shared" si="12"/>
        <v>section(mic, 'I/O').&lt;&gt;subsection(mic, 'sound').&lt;&gt;description(mic, 'samples from mic').&lt;&gt;visual_style(mic,  normal</v>
      </c>
      <c r="Y20" t="str">
        <f t="shared" si="13"/>
        <v>visual_style5</v>
      </c>
      <c r="Z20">
        <f t="shared" si="15"/>
        <v>5</v>
      </c>
      <c r="AA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</v>
      </c>
    </row>
    <row r="21" spans="2:2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47</v>
      </c>
      <c r="F21" s="2" t="s">
        <v>8</v>
      </c>
      <c r="I21" s="4"/>
      <c r="J21" s="5"/>
      <c r="M21" s="2" t="s">
        <v>48</v>
      </c>
      <c r="N21" s="2" t="s">
        <v>49</v>
      </c>
      <c r="O21" s="10" t="str">
        <f t="shared" si="3"/>
        <v>[required('A')</v>
      </c>
      <c r="P21" s="10" t="str">
        <f t="shared" si="4"/>
        <v/>
      </c>
      <c r="Q21" s="10" t="str">
        <f t="shared" si="5"/>
        <v/>
      </c>
      <c r="R21" s="10" t="str">
        <f t="shared" si="6"/>
        <v/>
      </c>
      <c r="S21" t="str">
        <f t="shared" si="7"/>
        <v>[required('A')]</v>
      </c>
      <c r="T21" s="1" t="str">
        <f t="shared" si="8"/>
        <v>[</v>
      </c>
      <c r="U21" t="str">
        <f t="shared" si="9"/>
        <v/>
      </c>
      <c r="V21" t="str">
        <f t="shared" si="10"/>
        <v/>
      </c>
      <c r="W21" t="str">
        <f t="shared" si="11"/>
        <v>[]</v>
      </c>
      <c r="X21" t="str">
        <f t="shared" si="12"/>
        <v>section(listen, 'I/O').&lt;&gt;subsection(listen, 'sound').&lt;&gt;description(listen, 'Sends sound to default output').&lt;&gt;visual_style(listen,  visual_style5</v>
      </c>
      <c r="Y21" t="str">
        <f t="shared" si="13"/>
        <v>visual_style5</v>
      </c>
      <c r="Z21">
        <f t="shared" si="15"/>
        <v>5</v>
      </c>
      <c r="AA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</v>
      </c>
    </row>
    <row r="22" spans="2:27" ht="14.25" customHeight="1" x14ac:dyDescent="0.2">
      <c r="B22" s="2" t="s">
        <v>50</v>
      </c>
      <c r="C22" s="1" t="str">
        <f t="shared" si="0"/>
        <v>I/O</v>
      </c>
      <c r="D22" s="1" t="str">
        <f t="shared" si="1"/>
        <v>imaging</v>
      </c>
      <c r="I22" s="4"/>
      <c r="J22" s="5"/>
      <c r="O22" s="10" t="str">
        <f t="shared" si="3"/>
        <v>[</v>
      </c>
      <c r="P22" s="10" t="str">
        <f t="shared" si="4"/>
        <v/>
      </c>
      <c r="Q22" s="10" t="str">
        <f t="shared" si="5"/>
        <v/>
      </c>
      <c r="R22" s="10" t="str">
        <f t="shared" si="6"/>
        <v/>
      </c>
      <c r="S22" t="str">
        <f t="shared" si="7"/>
        <v>[]</v>
      </c>
      <c r="T22" s="1" t="str">
        <f t="shared" si="8"/>
        <v>[</v>
      </c>
      <c r="U22" t="str">
        <f t="shared" si="9"/>
        <v/>
      </c>
      <c r="V22" t="str">
        <f t="shared" si="10"/>
        <v/>
      </c>
      <c r="W22" t="str">
        <f t="shared" si="11"/>
        <v>[]</v>
      </c>
      <c r="X22" t="str">
        <f t="shared" si="12"/>
        <v/>
      </c>
      <c r="Y22" t="str">
        <f t="shared" si="13"/>
        <v>visual_style6</v>
      </c>
      <c r="Z22">
        <f t="shared" si="15"/>
        <v>6</v>
      </c>
      <c r="AA22" t="str">
        <f t="shared" si="14"/>
        <v/>
      </c>
    </row>
    <row r="23" spans="2:2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51</v>
      </c>
      <c r="I23" s="4"/>
      <c r="J23" s="5" t="s">
        <v>10</v>
      </c>
      <c r="K23" s="2" t="s">
        <v>16</v>
      </c>
      <c r="M23" s="2" t="s">
        <v>52</v>
      </c>
      <c r="N23" s="2" t="s">
        <v>53</v>
      </c>
      <c r="O23" s="10" t="str">
        <f t="shared" si="3"/>
        <v>[</v>
      </c>
      <c r="P23" s="10" t="str">
        <f t="shared" si="4"/>
        <v/>
      </c>
      <c r="Q23" s="10" t="str">
        <f t="shared" si="5"/>
        <v/>
      </c>
      <c r="R23" s="10" t="str">
        <f t="shared" si="6"/>
        <v/>
      </c>
      <c r="S23" t="str">
        <f t="shared" si="7"/>
        <v>[]</v>
      </c>
      <c r="T23" s="1" t="str">
        <f t="shared" si="8"/>
        <v>['O'</v>
      </c>
      <c r="U23" t="str">
        <f t="shared" si="9"/>
        <v>, 'K'</v>
      </c>
      <c r="V23" t="str">
        <f t="shared" si="10"/>
        <v/>
      </c>
      <c r="W23" t="str">
        <f t="shared" si="11"/>
        <v>['O', 'K']</v>
      </c>
      <c r="X23" t="str">
        <f t="shared" si="12"/>
        <v>section(camera, 'I/O').&lt;&gt;subsection(camera, 'imaging').&lt;&gt;description(camera, 'O is frames out of camera, K is camera intrinsics').&lt;&gt;visual_style(camera,  visual_style6</v>
      </c>
      <c r="Y23" t="str">
        <f t="shared" si="13"/>
        <v>visual_style6</v>
      </c>
      <c r="Z23">
        <f t="shared" si="15"/>
        <v>6</v>
      </c>
      <c r="AA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</v>
      </c>
    </row>
    <row r="24" spans="2:2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54</v>
      </c>
      <c r="F24" s="2" t="s">
        <v>55</v>
      </c>
      <c r="G24" s="2" t="s">
        <v>56</v>
      </c>
      <c r="I24" s="4"/>
      <c r="J24" s="5" t="s">
        <v>57</v>
      </c>
      <c r="K24" s="2" t="s">
        <v>58</v>
      </c>
      <c r="M24" s="2" t="s">
        <v>59</v>
      </c>
      <c r="O24" s="10" t="str">
        <f t="shared" si="3"/>
        <v>[required('x')</v>
      </c>
      <c r="P24" s="10" t="str">
        <f t="shared" si="4"/>
        <v>, required('y')</v>
      </c>
      <c r="Q24" s="10" t="str">
        <f t="shared" si="5"/>
        <v/>
      </c>
      <c r="R24" s="10" t="str">
        <f t="shared" si="6"/>
        <v/>
      </c>
      <c r="S24" t="str">
        <f t="shared" si="7"/>
        <v>[required('x'), required('y')]</v>
      </c>
      <c r="T24" s="1" t="str">
        <f t="shared" si="8"/>
        <v>['OL'</v>
      </c>
      <c r="U24" t="str">
        <f t="shared" si="9"/>
        <v>, 'OR'</v>
      </c>
      <c r="V24" t="str">
        <f t="shared" si="10"/>
        <v/>
      </c>
      <c r="W24" t="str">
        <f t="shared" si="11"/>
        <v>['OL', 'OR']</v>
      </c>
      <c r="X24" t="str">
        <f t="shared" si="12"/>
        <v>section(eyes, 'I/O').&lt;&gt;subsection(eyes, 'imaging').&lt;&gt;description(eyes, 'input is commanded eye position, output is left and right eye cams').&lt;&gt;visual_style(eyes,  normal</v>
      </c>
      <c r="Y24" t="str">
        <f t="shared" si="13"/>
        <v>visual_style7</v>
      </c>
      <c r="Z24">
        <f t="shared" si="15"/>
        <v>7</v>
      </c>
      <c r="AA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</v>
      </c>
    </row>
    <row r="25" spans="2:2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60</v>
      </c>
      <c r="I25" s="4"/>
      <c r="J25" s="5" t="s">
        <v>10</v>
      </c>
      <c r="K25" s="2" t="s">
        <v>61</v>
      </c>
      <c r="M25" s="2" t="s">
        <v>62</v>
      </c>
      <c r="N25" s="2" t="s">
        <v>63</v>
      </c>
      <c r="O25" s="10" t="str">
        <f t="shared" si="3"/>
        <v>[</v>
      </c>
      <c r="P25" s="10" t="str">
        <f t="shared" si="4"/>
        <v/>
      </c>
      <c r="Q25" s="10" t="str">
        <f t="shared" si="5"/>
        <v/>
      </c>
      <c r="R25" s="10" t="str">
        <f t="shared" si="6"/>
        <v/>
      </c>
      <c r="S25" t="str">
        <f t="shared" si="7"/>
        <v>[]</v>
      </c>
      <c r="T25" s="1" t="str">
        <f t="shared" si="8"/>
        <v>['O'</v>
      </c>
      <c r="U25" t="str">
        <f t="shared" si="9"/>
        <v>, 'S'</v>
      </c>
      <c r="V25" t="str">
        <f t="shared" si="10"/>
        <v/>
      </c>
      <c r="W25" t="str">
        <f t="shared" si="11"/>
        <v>['O', 'S']</v>
      </c>
      <c r="X25" t="str">
        <f t="shared" si="12"/>
        <v>section(videoplayer, 'I/O').&lt;&gt;subsection(videoplayer, 'imaging').&lt;&gt;description(videoplayer, 'Sends frames out O, sound out S').&lt;&gt;visual_style(videoplayer,  visual_style7</v>
      </c>
      <c r="Y25" t="str">
        <f t="shared" si="13"/>
        <v>visual_style7</v>
      </c>
      <c r="Z25">
        <f t="shared" si="15"/>
        <v>7</v>
      </c>
      <c r="AA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</v>
      </c>
    </row>
    <row r="26" spans="2:2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64</v>
      </c>
      <c r="F26" s="2" t="s">
        <v>65</v>
      </c>
      <c r="G26" s="2" t="s">
        <v>66</v>
      </c>
      <c r="I26" s="4"/>
      <c r="J26" s="5"/>
      <c r="M26" s="2" t="s">
        <v>157</v>
      </c>
      <c r="N26" s="2" t="s">
        <v>67</v>
      </c>
      <c r="O26" s="10" t="str">
        <f t="shared" si="3"/>
        <v>[optional('Vid')</v>
      </c>
      <c r="P26" s="10" t="str">
        <f t="shared" si="4"/>
        <v>, optional('Snd')</v>
      </c>
      <c r="Q26" s="10" t="str">
        <f t="shared" si="5"/>
        <v/>
      </c>
      <c r="R26" s="10" t="str">
        <f t="shared" si="6"/>
        <v/>
      </c>
      <c r="S26" t="str">
        <f t="shared" si="7"/>
        <v>[optional('Vid'), optional('Snd')]</v>
      </c>
      <c r="T26" s="1" t="str">
        <f t="shared" si="8"/>
        <v>[</v>
      </c>
      <c r="U26" t="str">
        <f t="shared" si="9"/>
        <v/>
      </c>
      <c r="V26" t="str">
        <f t="shared" si="10"/>
        <v/>
      </c>
      <c r="W26" t="str">
        <f t="shared" si="11"/>
        <v>[]</v>
      </c>
      <c r="X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Y26" t="str">
        <f t="shared" si="13"/>
        <v>visual_style8</v>
      </c>
      <c r="Z26">
        <f t="shared" si="15"/>
        <v>8</v>
      </c>
      <c r="AA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</v>
      </c>
    </row>
    <row r="27" spans="2:2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68</v>
      </c>
      <c r="F27" s="2" t="s">
        <v>8</v>
      </c>
      <c r="I27" s="4"/>
      <c r="J27" s="5"/>
      <c r="M27" s="2" t="s">
        <v>69</v>
      </c>
      <c r="N27" s="2" t="s">
        <v>68</v>
      </c>
      <c r="O27" s="10" t="str">
        <f t="shared" si="3"/>
        <v>[required('A')</v>
      </c>
      <c r="P27" s="10" t="str">
        <f t="shared" si="4"/>
        <v/>
      </c>
      <c r="Q27" s="10" t="str">
        <f t="shared" si="5"/>
        <v/>
      </c>
      <c r="R27" s="10" t="str">
        <f t="shared" si="6"/>
        <v/>
      </c>
      <c r="S27" t="str">
        <f t="shared" si="7"/>
        <v>[required('A')]</v>
      </c>
      <c r="T27" s="1" t="str">
        <f t="shared" si="8"/>
        <v>[</v>
      </c>
      <c r="U27" t="str">
        <f t="shared" si="9"/>
        <v/>
      </c>
      <c r="V27" t="str">
        <f t="shared" si="10"/>
        <v/>
      </c>
      <c r="W27" t="str">
        <f t="shared" si="11"/>
        <v>[]</v>
      </c>
      <c r="X27" t="str">
        <f t="shared" si="12"/>
        <v>section(spectrum, 'I/O').&lt;&gt;subsection(spectrum, 'imaging').&lt;&gt;description(spectrum, 'dancing spectrum display').&lt;&gt;visual_style(spectrum,  visual_style9</v>
      </c>
      <c r="Y27" t="str">
        <f t="shared" si="13"/>
        <v>visual_style9</v>
      </c>
      <c r="Z27">
        <f t="shared" si="15"/>
        <v>9</v>
      </c>
      <c r="AA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</v>
      </c>
    </row>
    <row r="28" spans="2:2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158</v>
      </c>
      <c r="I28" s="4"/>
      <c r="J28" s="5" t="s">
        <v>10</v>
      </c>
      <c r="M28" s="2" t="s">
        <v>70</v>
      </c>
      <c r="N28" s="2" t="s">
        <v>71</v>
      </c>
      <c r="O28" s="10" t="str">
        <f t="shared" si="3"/>
        <v>[</v>
      </c>
      <c r="P28" s="10" t="str">
        <f t="shared" si="4"/>
        <v/>
      </c>
      <c r="Q28" s="10" t="str">
        <f t="shared" si="5"/>
        <v/>
      </c>
      <c r="R28" s="10" t="str">
        <f t="shared" si="6"/>
        <v/>
      </c>
      <c r="S28" t="str">
        <f t="shared" si="7"/>
        <v>[]</v>
      </c>
      <c r="T28" s="1" t="str">
        <f t="shared" si="8"/>
        <v>['O'</v>
      </c>
      <c r="U28" t="str">
        <f t="shared" si="9"/>
        <v/>
      </c>
      <c r="V28" t="str">
        <f t="shared" si="10"/>
        <v/>
      </c>
      <c r="W28" t="str">
        <f t="shared" si="11"/>
        <v>['O']</v>
      </c>
      <c r="X28" t="str">
        <f t="shared" si="12"/>
        <v>section(draw_tool, 'I/O').&lt;&gt;subsection(draw_tool, 'imaging').&lt;&gt;description(draw_tool, 'output frame each time updated').&lt;&gt;visual_style(draw_tool,  visual_style10</v>
      </c>
      <c r="Y28" t="str">
        <f t="shared" si="13"/>
        <v>visual_style10</v>
      </c>
      <c r="Z28">
        <f t="shared" si="15"/>
        <v>10</v>
      </c>
      <c r="AA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</v>
      </c>
    </row>
    <row r="29" spans="2:2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72</v>
      </c>
      <c r="F29" s="2" t="s">
        <v>8</v>
      </c>
      <c r="I29" s="4"/>
      <c r="J29" s="5"/>
      <c r="M29" s="2" t="s">
        <v>73</v>
      </c>
      <c r="N29" s="2" t="s">
        <v>74</v>
      </c>
      <c r="O29" s="10" t="str">
        <f t="shared" si="3"/>
        <v>[required('A')</v>
      </c>
      <c r="P29" s="10" t="str">
        <f t="shared" si="4"/>
        <v/>
      </c>
      <c r="Q29" s="10" t="str">
        <f t="shared" si="5"/>
        <v/>
      </c>
      <c r="R29" s="10" t="str">
        <f t="shared" si="6"/>
        <v/>
      </c>
      <c r="S29" t="str">
        <f t="shared" si="7"/>
        <v>[required('A')]</v>
      </c>
      <c r="T29" s="1" t="str">
        <f t="shared" si="8"/>
        <v>[</v>
      </c>
      <c r="U29" t="str">
        <f t="shared" si="9"/>
        <v/>
      </c>
      <c r="V29" t="str">
        <f t="shared" si="10"/>
        <v/>
      </c>
      <c r="W29" t="str">
        <f t="shared" si="11"/>
        <v>[]</v>
      </c>
      <c r="X29" t="str">
        <f t="shared" si="12"/>
        <v>section(viewer, 'I/O').&lt;&gt;subsection(viewer, 'imaging').&lt;&gt;description(viewer, 'displays image').&lt;&gt;visual_style(viewer,  visual_style11</v>
      </c>
      <c r="Y29" t="str">
        <f t="shared" si="13"/>
        <v>visual_style11</v>
      </c>
      <c r="Z29">
        <f t="shared" si="15"/>
        <v>11</v>
      </c>
      <c r="AA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</v>
      </c>
    </row>
    <row r="30" spans="2:2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75</v>
      </c>
      <c r="I30" s="4"/>
      <c r="J30" s="5" t="s">
        <v>10</v>
      </c>
      <c r="N30" s="2" t="s">
        <v>76</v>
      </c>
      <c r="O30" s="10" t="str">
        <f t="shared" si="3"/>
        <v>[</v>
      </c>
      <c r="P30" s="10" t="str">
        <f t="shared" si="4"/>
        <v/>
      </c>
      <c r="Q30" s="10" t="str">
        <f t="shared" si="5"/>
        <v/>
      </c>
      <c r="R30" s="10" t="str">
        <f t="shared" si="6"/>
        <v/>
      </c>
      <c r="S30" t="str">
        <f t="shared" si="7"/>
        <v>[]</v>
      </c>
      <c r="T30" s="1" t="str">
        <f t="shared" si="8"/>
        <v>['O'</v>
      </c>
      <c r="U30" t="str">
        <f t="shared" si="9"/>
        <v/>
      </c>
      <c r="V30" t="str">
        <f t="shared" si="10"/>
        <v/>
      </c>
      <c r="W30" t="str">
        <f t="shared" si="11"/>
        <v>['O']</v>
      </c>
      <c r="X30" t="str">
        <f t="shared" si="12"/>
        <v>section(kernal, 'I/O').&lt;&gt;subsection(kernal, 'imaging').&lt;&gt;description(kernal, '').&lt;&gt;visual_style(kernal,  visual_style12</v>
      </c>
      <c r="Y30" t="str">
        <f t="shared" si="13"/>
        <v>visual_style12</v>
      </c>
      <c r="Z30">
        <f t="shared" si="15"/>
        <v>12</v>
      </c>
      <c r="AA30" t="str">
        <f t="shared" si="14"/>
        <v>&lt;&gt;%  ===== kernal ===========&lt;&gt;section(kernal, 'I/O').&lt;&gt;subsection(kernal, 'imaging').&lt;&gt;description(kernal, '').&lt;&gt;visual_style(kernal,  visual_style12).&lt;&gt;inputs(kernal, []).&lt;&gt;outputs(kernal, ['O']).</v>
      </c>
    </row>
    <row r="31" spans="2:27" ht="14.25" customHeight="1" x14ac:dyDescent="0.2">
      <c r="B31" s="2" t="s">
        <v>77</v>
      </c>
      <c r="C31" s="1" t="str">
        <f t="shared" si="0"/>
        <v>I/O</v>
      </c>
      <c r="D31" s="1" t="str">
        <f t="shared" si="1"/>
        <v>body</v>
      </c>
      <c r="I31" s="4"/>
      <c r="J31" s="5"/>
      <c r="O31" s="10" t="str">
        <f t="shared" si="3"/>
        <v>[</v>
      </c>
      <c r="P31" s="10" t="str">
        <f t="shared" si="4"/>
        <v/>
      </c>
      <c r="Q31" s="10" t="str">
        <f t="shared" si="5"/>
        <v/>
      </c>
      <c r="R31" s="10" t="str">
        <f t="shared" si="6"/>
        <v/>
      </c>
      <c r="S31" t="str">
        <f t="shared" si="7"/>
        <v>[]</v>
      </c>
      <c r="T31" s="1" t="str">
        <f t="shared" si="8"/>
        <v>[</v>
      </c>
      <c r="U31" t="str">
        <f t="shared" si="9"/>
        <v/>
      </c>
      <c r="V31" t="str">
        <f t="shared" si="10"/>
        <v/>
      </c>
      <c r="W31" t="str">
        <f t="shared" si="11"/>
        <v>[]</v>
      </c>
      <c r="X31" t="str">
        <f t="shared" si="12"/>
        <v/>
      </c>
      <c r="Y31" t="str">
        <f t="shared" si="13"/>
        <v>visual_style13</v>
      </c>
      <c r="Z31">
        <f t="shared" si="15"/>
        <v>13</v>
      </c>
      <c r="AA31" t="str">
        <f t="shared" si="14"/>
        <v/>
      </c>
    </row>
    <row r="32" spans="2:2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78</v>
      </c>
      <c r="I32" s="4"/>
      <c r="J32" s="5" t="s">
        <v>10</v>
      </c>
      <c r="M32" s="2" t="s">
        <v>79</v>
      </c>
      <c r="N32" s="2" t="s">
        <v>80</v>
      </c>
      <c r="O32" s="10" t="str">
        <f t="shared" si="3"/>
        <v>[</v>
      </c>
      <c r="P32" s="10" t="str">
        <f t="shared" si="4"/>
        <v/>
      </c>
      <c r="Q32" s="10" t="str">
        <f t="shared" si="5"/>
        <v/>
      </c>
      <c r="R32" s="10" t="str">
        <f t="shared" si="6"/>
        <v/>
      </c>
      <c r="S32" t="str">
        <f t="shared" si="7"/>
        <v>[]</v>
      </c>
      <c r="T32" s="1" t="str">
        <f t="shared" si="8"/>
        <v>['O'</v>
      </c>
      <c r="U32" t="str">
        <f t="shared" si="9"/>
        <v/>
      </c>
      <c r="V32" t="str">
        <f t="shared" si="10"/>
        <v/>
      </c>
      <c r="W32" t="str">
        <f t="shared" si="11"/>
        <v>['O']</v>
      </c>
      <c r="X32" t="str">
        <f t="shared" si="12"/>
        <v>section(bodymask, 'I/O').&lt;&gt;subsection(bodymask, 'body').&lt;&gt;description(bodymask, 'output is a vector of booleans for joints').&lt;&gt;visual_style(bodymask,  visual_style13</v>
      </c>
      <c r="Y32" t="str">
        <f t="shared" si="13"/>
        <v>visual_style13</v>
      </c>
      <c r="Z32">
        <f t="shared" si="15"/>
        <v>13</v>
      </c>
      <c r="AA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</v>
      </c>
    </row>
    <row r="33" spans="1:2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81</v>
      </c>
      <c r="I33" s="4"/>
      <c r="J33" s="5" t="s">
        <v>10</v>
      </c>
      <c r="M33" s="2" t="s">
        <v>82</v>
      </c>
      <c r="O33" s="10" t="str">
        <f t="shared" si="3"/>
        <v>[</v>
      </c>
      <c r="P33" s="10" t="str">
        <f t="shared" si="4"/>
        <v/>
      </c>
      <c r="Q33" s="10" t="str">
        <f t="shared" si="5"/>
        <v/>
      </c>
      <c r="R33" s="10" t="str">
        <f t="shared" si="6"/>
        <v/>
      </c>
      <c r="S33" t="str">
        <f t="shared" si="7"/>
        <v>[]</v>
      </c>
      <c r="T33" s="1" t="str">
        <f t="shared" si="8"/>
        <v>['O'</v>
      </c>
      <c r="U33" t="str">
        <f t="shared" si="9"/>
        <v/>
      </c>
      <c r="V33" t="str">
        <f t="shared" si="10"/>
        <v/>
      </c>
      <c r="W33" t="str">
        <f t="shared" si="11"/>
        <v>['O']</v>
      </c>
      <c r="X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Y33" t="str">
        <f t="shared" si="13"/>
        <v>visual_style14</v>
      </c>
      <c r="Z33">
        <f t="shared" si="15"/>
        <v>14</v>
      </c>
      <c r="AA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</v>
      </c>
    </row>
    <row r="34" spans="1:27" ht="14.25" customHeight="1" x14ac:dyDescent="0.2">
      <c r="C34" s="1" t="str">
        <f t="shared" ref="C34:C53" si="16">IF(ISBLANK(A34),C33,A34)</f>
        <v>I/O</v>
      </c>
      <c r="D34" s="1" t="str">
        <f t="shared" ref="D34:D53" si="17">IF(NOT(ISBLANK(B34)), B34, IF(ISBLANK(A34), D33,A34))</f>
        <v>body</v>
      </c>
      <c r="E34" s="2" t="s">
        <v>83</v>
      </c>
      <c r="I34" s="4"/>
      <c r="J34" s="5" t="s">
        <v>10</v>
      </c>
      <c r="M34" s="2" t="s">
        <v>84</v>
      </c>
      <c r="O34" s="10" t="str">
        <f t="shared" si="3"/>
        <v>[</v>
      </c>
      <c r="P34" s="10" t="str">
        <f t="shared" si="4"/>
        <v/>
      </c>
      <c r="Q34" s="10" t="str">
        <f t="shared" si="5"/>
        <v/>
      </c>
      <c r="R34" s="10" t="str">
        <f t="shared" si="6"/>
        <v/>
      </c>
      <c r="S34" t="str">
        <f t="shared" si="7"/>
        <v>[]</v>
      </c>
      <c r="T34" s="1" t="str">
        <f t="shared" si="8"/>
        <v>['O'</v>
      </c>
      <c r="U34" t="str">
        <f t="shared" si="9"/>
        <v/>
      </c>
      <c r="V34" t="str">
        <f t="shared" si="10"/>
        <v/>
      </c>
      <c r="W34" t="str">
        <f t="shared" si="11"/>
        <v>['O']</v>
      </c>
      <c r="X34" t="str">
        <f t="shared" si="12"/>
        <v>section(bodypossim, 'I/O').&lt;&gt;subsection(bodypossim, 'body').&lt;&gt;description(bodypossim, 'as per bodyposition but from the simulator').&lt;&gt;visual_style(bodypossim,  normal</v>
      </c>
      <c r="Y34" t="str">
        <f t="shared" si="13"/>
        <v>visual_style14</v>
      </c>
      <c r="Z34">
        <f t="shared" si="15"/>
        <v>14</v>
      </c>
      <c r="AA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</v>
      </c>
    </row>
    <row r="35" spans="1:27" ht="14.25" customHeight="1" x14ac:dyDescent="0.2">
      <c r="C35" s="1" t="str">
        <f t="shared" si="16"/>
        <v>I/O</v>
      </c>
      <c r="D35" s="1" t="str">
        <f t="shared" si="17"/>
        <v>body</v>
      </c>
      <c r="E35" s="2" t="s">
        <v>85</v>
      </c>
      <c r="F35" s="2" t="s">
        <v>8</v>
      </c>
      <c r="G35" s="2" t="s">
        <v>86</v>
      </c>
      <c r="I35" s="4"/>
      <c r="J35" s="5"/>
      <c r="M35" s="2" t="s">
        <v>87</v>
      </c>
      <c r="O35" s="10" t="str">
        <f t="shared" si="3"/>
        <v>[required('A')</v>
      </c>
      <c r="P35" s="10" t="str">
        <f t="shared" si="4"/>
        <v>, required('Mask')</v>
      </c>
      <c r="Q35" s="10" t="str">
        <f t="shared" si="5"/>
        <v/>
      </c>
      <c r="R35" s="10" t="str">
        <f t="shared" si="6"/>
        <v/>
      </c>
      <c r="S35" t="str">
        <f t="shared" si="7"/>
        <v>[required('A'), required('Mask')]</v>
      </c>
      <c r="T35" s="1" t="str">
        <f t="shared" si="8"/>
        <v>[</v>
      </c>
      <c r="U35" t="str">
        <f t="shared" si="9"/>
        <v/>
      </c>
      <c r="V35" t="str">
        <f t="shared" si="10"/>
        <v/>
      </c>
      <c r="W35" t="str">
        <f t="shared" si="11"/>
        <v>[]</v>
      </c>
      <c r="X35" t="str">
        <f t="shared" si="12"/>
        <v>section(motors, 'I/O').&lt;&gt;subsection(motors, 'body').&lt;&gt;description(motors, 'Send channels of vector A matching Mask to robot servos').&lt;&gt;visual_style(motors,  normal</v>
      </c>
      <c r="Y35" t="str">
        <f t="shared" si="13"/>
        <v>visual_style14</v>
      </c>
      <c r="Z35">
        <f t="shared" si="15"/>
        <v>14</v>
      </c>
      <c r="AA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</v>
      </c>
    </row>
    <row r="36" spans="1:27" ht="14.25" customHeight="1" x14ac:dyDescent="0.2">
      <c r="C36" s="1" t="str">
        <f t="shared" si="16"/>
        <v>I/O</v>
      </c>
      <c r="D36" s="1" t="str">
        <f t="shared" si="17"/>
        <v>body</v>
      </c>
      <c r="E36" s="2" t="s">
        <v>88</v>
      </c>
      <c r="F36" s="2" t="s">
        <v>8</v>
      </c>
      <c r="G36" s="2" t="s">
        <v>86</v>
      </c>
      <c r="I36" s="4"/>
      <c r="J36" s="5"/>
      <c r="M36" s="2" t="s">
        <v>89</v>
      </c>
      <c r="O36" s="10" t="str">
        <f t="shared" si="3"/>
        <v>[required('A')</v>
      </c>
      <c r="P36" s="10" t="str">
        <f t="shared" si="4"/>
        <v>, required('Mask')</v>
      </c>
      <c r="Q36" s="10" t="str">
        <f t="shared" si="5"/>
        <v/>
      </c>
      <c r="R36" s="10" t="str">
        <f t="shared" si="6"/>
        <v/>
      </c>
      <c r="S36" t="str">
        <f t="shared" si="7"/>
        <v>[required('A'), required('Mask')]</v>
      </c>
      <c r="T36" s="1" t="str">
        <f t="shared" si="8"/>
        <v>[</v>
      </c>
      <c r="U36" t="str">
        <f t="shared" si="9"/>
        <v/>
      </c>
      <c r="V36" t="str">
        <f t="shared" si="10"/>
        <v/>
      </c>
      <c r="W36" t="str">
        <f t="shared" si="11"/>
        <v>[]</v>
      </c>
      <c r="X36" t="str">
        <f t="shared" si="12"/>
        <v>section(motorsim, 'I/O').&lt;&gt;subsection(motorsim, 'body').&lt;&gt;description(motorsim, 'As per motors, but to simulator').&lt;&gt;visual_style(motorsim,  normal</v>
      </c>
      <c r="Y36" t="str">
        <f t="shared" si="13"/>
        <v>visual_style14</v>
      </c>
      <c r="Z36">
        <f t="shared" si="15"/>
        <v>14</v>
      </c>
      <c r="AA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</v>
      </c>
    </row>
    <row r="37" spans="1:27" ht="14.25" customHeight="1" x14ac:dyDescent="0.2">
      <c r="A37" s="2" t="s">
        <v>90</v>
      </c>
      <c r="C37" s="1" t="str">
        <f t="shared" si="16"/>
        <v>CV</v>
      </c>
      <c r="D37" s="1" t="str">
        <f t="shared" si="17"/>
        <v>CV</v>
      </c>
      <c r="I37" s="4"/>
      <c r="J37" s="5"/>
      <c r="O37" s="10" t="str">
        <f t="shared" si="3"/>
        <v>[</v>
      </c>
      <c r="P37" s="10" t="str">
        <f t="shared" si="4"/>
        <v/>
      </c>
      <c r="Q37" s="10" t="str">
        <f t="shared" si="5"/>
        <v/>
      </c>
      <c r="R37" s="10" t="str">
        <f t="shared" si="6"/>
        <v/>
      </c>
      <c r="S37" t="str">
        <f t="shared" si="7"/>
        <v>[]</v>
      </c>
      <c r="T37" s="1" t="str">
        <f t="shared" si="8"/>
        <v>[</v>
      </c>
      <c r="U37" t="str">
        <f t="shared" si="9"/>
        <v/>
      </c>
      <c r="V37" t="str">
        <f t="shared" si="10"/>
        <v/>
      </c>
      <c r="W37" t="str">
        <f t="shared" si="11"/>
        <v>[]</v>
      </c>
      <c r="X37" t="str">
        <f t="shared" si="12"/>
        <v/>
      </c>
      <c r="Y37" t="str">
        <f t="shared" si="13"/>
        <v>visual_style14</v>
      </c>
      <c r="Z37">
        <f t="shared" si="15"/>
        <v>14</v>
      </c>
      <c r="AA37" t="str">
        <f t="shared" si="14"/>
        <v/>
      </c>
    </row>
    <row r="38" spans="1:27" ht="14.25" customHeight="1" x14ac:dyDescent="0.2">
      <c r="B38" s="2" t="s">
        <v>91</v>
      </c>
      <c r="C38" s="1" t="str">
        <f t="shared" si="16"/>
        <v>CV</v>
      </c>
      <c r="D38" s="1" t="str">
        <f t="shared" si="17"/>
        <v>Image Processing</v>
      </c>
      <c r="I38" s="4"/>
      <c r="J38" s="5"/>
      <c r="O38" s="10" t="str">
        <f t="shared" si="3"/>
        <v>[</v>
      </c>
      <c r="P38" s="10" t="str">
        <f t="shared" si="4"/>
        <v/>
      </c>
      <c r="Q38" s="10" t="str">
        <f t="shared" si="5"/>
        <v/>
      </c>
      <c r="R38" s="10" t="str">
        <f t="shared" si="6"/>
        <v/>
      </c>
      <c r="S38" t="str">
        <f t="shared" si="7"/>
        <v>[]</v>
      </c>
      <c r="T38" s="1" t="str">
        <f t="shared" si="8"/>
        <v>[</v>
      </c>
      <c r="U38" t="str">
        <f t="shared" si="9"/>
        <v/>
      </c>
      <c r="V38" t="str">
        <f t="shared" si="10"/>
        <v/>
      </c>
      <c r="W38" t="str">
        <f t="shared" si="11"/>
        <v>[]</v>
      </c>
      <c r="X38" t="str">
        <f t="shared" si="12"/>
        <v/>
      </c>
      <c r="Y38" t="str">
        <f t="shared" si="13"/>
        <v>visual_style14</v>
      </c>
      <c r="Z38">
        <f t="shared" si="15"/>
        <v>14</v>
      </c>
      <c r="AA38" t="str">
        <f t="shared" si="14"/>
        <v/>
      </c>
    </row>
    <row r="39" spans="1:27" ht="14.25" customHeight="1" x14ac:dyDescent="0.2">
      <c r="C39" s="1" t="str">
        <f t="shared" si="16"/>
        <v>CV</v>
      </c>
      <c r="D39" s="1" t="str">
        <f t="shared" si="17"/>
        <v>Image Processing</v>
      </c>
      <c r="E39" s="2" t="s">
        <v>92</v>
      </c>
      <c r="I39" s="4"/>
      <c r="J39" s="5" t="s">
        <v>10</v>
      </c>
      <c r="M39" s="2" t="s">
        <v>93</v>
      </c>
      <c r="O39" s="10" t="str">
        <f t="shared" si="3"/>
        <v>[</v>
      </c>
      <c r="P39" s="10" t="str">
        <f t="shared" si="4"/>
        <v/>
      </c>
      <c r="Q39" s="10" t="str">
        <f t="shared" si="5"/>
        <v/>
      </c>
      <c r="R39" s="10" t="str">
        <f t="shared" si="6"/>
        <v/>
      </c>
      <c r="S39" t="str">
        <f t="shared" si="7"/>
        <v>[]</v>
      </c>
      <c r="T39" s="1" t="str">
        <f t="shared" si="8"/>
        <v>['O'</v>
      </c>
      <c r="U39" t="str">
        <f t="shared" si="9"/>
        <v/>
      </c>
      <c r="V39" t="str">
        <f t="shared" si="10"/>
        <v/>
      </c>
      <c r="W39" t="str">
        <f t="shared" si="11"/>
        <v>['O']</v>
      </c>
      <c r="X39" t="str">
        <f t="shared" si="12"/>
        <v>section(black, 'CV').&lt;&gt;subsection(black, 'Image Processing').&lt;&gt;description(black, 'outputs a solid black frame the camera size').&lt;&gt;visual_style(black,  normal</v>
      </c>
      <c r="Y39" t="str">
        <f t="shared" si="13"/>
        <v>visual_style14</v>
      </c>
      <c r="Z39">
        <f t="shared" si="15"/>
        <v>14</v>
      </c>
      <c r="AA3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</v>
      </c>
    </row>
    <row r="40" spans="1:27" ht="14.25" customHeight="1" x14ac:dyDescent="0.2">
      <c r="C40" s="1" t="str">
        <f t="shared" si="16"/>
        <v>CV</v>
      </c>
      <c r="D40" s="1" t="str">
        <f t="shared" si="17"/>
        <v>Image Processing</v>
      </c>
      <c r="E40" s="2" t="s">
        <v>94</v>
      </c>
      <c r="I40" s="4"/>
      <c r="J40" s="5" t="s">
        <v>10</v>
      </c>
      <c r="M40" s="2" t="s">
        <v>95</v>
      </c>
      <c r="O40" s="10" t="str">
        <f t="shared" si="3"/>
        <v>[</v>
      </c>
      <c r="P40" s="10" t="str">
        <f t="shared" si="4"/>
        <v/>
      </c>
      <c r="Q40" s="10" t="str">
        <f t="shared" si="5"/>
        <v/>
      </c>
      <c r="R40" s="10" t="str">
        <f t="shared" si="6"/>
        <v/>
      </c>
      <c r="S40" t="str">
        <f t="shared" si="7"/>
        <v>[]</v>
      </c>
      <c r="T40" s="1" t="str">
        <f t="shared" si="8"/>
        <v>['O'</v>
      </c>
      <c r="U40" t="str">
        <f t="shared" si="9"/>
        <v/>
      </c>
      <c r="V40" t="str">
        <f t="shared" si="10"/>
        <v/>
      </c>
      <c r="W40" t="str">
        <f t="shared" si="11"/>
        <v>['O']</v>
      </c>
      <c r="X40" t="str">
        <f t="shared" si="12"/>
        <v>section(white, 'CV').&lt;&gt;subsection(white, 'Image Processing').&lt;&gt;description(white, 'outputs a solid white frame the camera size').&lt;&gt;visual_style(white,  normal</v>
      </c>
      <c r="Y40" t="str">
        <f t="shared" si="13"/>
        <v>visual_style14</v>
      </c>
      <c r="Z40">
        <f t="shared" si="15"/>
        <v>14</v>
      </c>
      <c r="AA4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</v>
      </c>
    </row>
    <row r="41" spans="1:27" ht="14.25" customHeight="1" x14ac:dyDescent="0.2">
      <c r="C41" s="1" t="str">
        <f t="shared" si="16"/>
        <v>CV</v>
      </c>
      <c r="D41" s="1" t="str">
        <f t="shared" si="17"/>
        <v>Image Processing</v>
      </c>
      <c r="E41" s="2" t="s">
        <v>96</v>
      </c>
      <c r="F41" s="2" t="s">
        <v>8</v>
      </c>
      <c r="G41" s="2" t="s">
        <v>97</v>
      </c>
      <c r="I41" s="4"/>
      <c r="J41" s="5" t="s">
        <v>10</v>
      </c>
      <c r="M41" s="2" t="s">
        <v>98</v>
      </c>
      <c r="O41" s="10" t="str">
        <f t="shared" si="3"/>
        <v>[required('A')</v>
      </c>
      <c r="P41" s="10" t="str">
        <f t="shared" si="4"/>
        <v>, required('Thresh')</v>
      </c>
      <c r="Q41" s="10" t="str">
        <f t="shared" si="5"/>
        <v/>
      </c>
      <c r="R41" s="10" t="str">
        <f t="shared" si="6"/>
        <v/>
      </c>
      <c r="S41" t="str">
        <f t="shared" si="7"/>
        <v>[required('A'), required('Thresh')]</v>
      </c>
      <c r="T41" s="1" t="str">
        <f t="shared" si="8"/>
        <v>['O'</v>
      </c>
      <c r="U41" t="str">
        <f t="shared" si="9"/>
        <v/>
      </c>
      <c r="V41" t="str">
        <f t="shared" si="10"/>
        <v/>
      </c>
      <c r="W41" t="str">
        <f t="shared" si="11"/>
        <v>['O']</v>
      </c>
      <c r="X41" t="str">
        <f t="shared" si="12"/>
        <v>section(threshold, 'CV').&lt;&gt;subsection(threshold, 'Image Processing').&lt;&gt;description(threshold, 'out is mask with black in areas above threshold').&lt;&gt;visual_style(threshold,  normal</v>
      </c>
      <c r="Y41" t="str">
        <f t="shared" si="13"/>
        <v>visual_style14</v>
      </c>
      <c r="Z41">
        <f t="shared" si="15"/>
        <v>14</v>
      </c>
      <c r="AA4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</v>
      </c>
    </row>
    <row r="42" spans="1:27" ht="14.25" customHeight="1" x14ac:dyDescent="0.2">
      <c r="C42" s="1" t="str">
        <f t="shared" si="16"/>
        <v>CV</v>
      </c>
      <c r="D42" s="1" t="str">
        <f t="shared" si="17"/>
        <v>Image Processing</v>
      </c>
      <c r="E42" s="2" t="s">
        <v>99</v>
      </c>
      <c r="F42" s="2" t="s">
        <v>8</v>
      </c>
      <c r="G42" s="2" t="s">
        <v>100</v>
      </c>
      <c r="I42" s="4"/>
      <c r="J42" s="5" t="s">
        <v>10</v>
      </c>
      <c r="O42" s="10" t="str">
        <f t="shared" si="3"/>
        <v>[required('A')</v>
      </c>
      <c r="P42" s="10" t="str">
        <f t="shared" si="4"/>
        <v>, required('Gamma')</v>
      </c>
      <c r="Q42" s="10" t="str">
        <f t="shared" si="5"/>
        <v/>
      </c>
      <c r="R42" s="10" t="str">
        <f t="shared" si="6"/>
        <v/>
      </c>
      <c r="S42" t="str">
        <f t="shared" si="7"/>
        <v>[required('A'), required('Gamma')]</v>
      </c>
      <c r="T42" s="1" t="str">
        <f t="shared" si="8"/>
        <v>['O'</v>
      </c>
      <c r="U42" t="str">
        <f t="shared" si="9"/>
        <v/>
      </c>
      <c r="V42" t="str">
        <f t="shared" si="10"/>
        <v/>
      </c>
      <c r="W42" t="str">
        <f t="shared" si="11"/>
        <v>['O']</v>
      </c>
      <c r="X42" t="str">
        <f t="shared" si="12"/>
        <v>section(gamma, 'CV').&lt;&gt;subsection(gamma, 'Image Processing').&lt;&gt;description(gamma, '').&lt;&gt;visual_style(gamma,  normal</v>
      </c>
      <c r="Y42" t="str">
        <f t="shared" si="13"/>
        <v>visual_style14</v>
      </c>
      <c r="Z42">
        <f t="shared" si="15"/>
        <v>14</v>
      </c>
      <c r="AA42" t="str">
        <f t="shared" si="14"/>
        <v>&lt;&gt;%  ===== gamma ===========&lt;&gt;section(gamma, 'CV').&lt;&gt;subsection(gamma, 'Image Processing').&lt;&gt;description(gamma, '').&lt;&gt;visual_style(gamma,  normal).&lt;&gt;inputs(gamma, [required('A'), required('Gamma')]).&lt;&gt;outputs(gamma, ['O']).</v>
      </c>
    </row>
    <row r="43" spans="1:27" ht="14.25" customHeight="1" x14ac:dyDescent="0.2">
      <c r="C43" s="1" t="str">
        <f t="shared" si="16"/>
        <v>CV</v>
      </c>
      <c r="D43" s="1" t="str">
        <f t="shared" si="17"/>
        <v>Image Processing</v>
      </c>
      <c r="E43" s="2" t="s">
        <v>101</v>
      </c>
      <c r="F43" s="2" t="s">
        <v>8</v>
      </c>
      <c r="I43" s="4"/>
      <c r="J43" s="5" t="s">
        <v>10</v>
      </c>
      <c r="M43" s="2" t="s">
        <v>102</v>
      </c>
      <c r="O43" s="10" t="str">
        <f t="shared" si="3"/>
        <v>[required('A')</v>
      </c>
      <c r="P43" s="10" t="str">
        <f t="shared" si="4"/>
        <v/>
      </c>
      <c r="Q43" s="10" t="str">
        <f t="shared" si="5"/>
        <v/>
      </c>
      <c r="R43" s="10" t="str">
        <f t="shared" si="6"/>
        <v/>
      </c>
      <c r="S43" t="str">
        <f t="shared" si="7"/>
        <v>[required('A')]</v>
      </c>
      <c r="T43" s="1" t="str">
        <f t="shared" si="8"/>
        <v>['O'</v>
      </c>
      <c r="U43" t="str">
        <f t="shared" si="9"/>
        <v/>
      </c>
      <c r="V43" t="str">
        <f t="shared" si="10"/>
        <v/>
      </c>
      <c r="W43" t="str">
        <f t="shared" si="11"/>
        <v>['O']</v>
      </c>
      <c r="X43" t="str">
        <f t="shared" si="12"/>
        <v>section(gray, 'CV').&lt;&gt;subsection(gray, 'Image Processing').&lt;&gt;description(gray, 'desaturates an image andoutputs grayscale image').&lt;&gt;visual_style(gray,  normal</v>
      </c>
      <c r="Y43" t="str">
        <f t="shared" si="13"/>
        <v>visual_style14</v>
      </c>
      <c r="Z43">
        <f t="shared" si="15"/>
        <v>14</v>
      </c>
      <c r="AA43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</v>
      </c>
    </row>
    <row r="44" spans="1:27" ht="14.25" customHeight="1" x14ac:dyDescent="0.2">
      <c r="C44" s="1" t="str">
        <f t="shared" si="16"/>
        <v>CV</v>
      </c>
      <c r="D44" s="1" t="str">
        <f t="shared" si="17"/>
        <v>Image Processing</v>
      </c>
      <c r="E44" s="2" t="s">
        <v>103</v>
      </c>
      <c r="F44" s="2" t="s">
        <v>8</v>
      </c>
      <c r="I44" s="4"/>
      <c r="J44" s="5" t="s">
        <v>10</v>
      </c>
      <c r="M44" s="2" t="s">
        <v>104</v>
      </c>
      <c r="O44" s="10" t="str">
        <f t="shared" si="3"/>
        <v>[required('A')</v>
      </c>
      <c r="P44" s="10" t="str">
        <f t="shared" si="4"/>
        <v/>
      </c>
      <c r="Q44" s="10" t="str">
        <f t="shared" si="5"/>
        <v/>
      </c>
      <c r="R44" s="10" t="str">
        <f t="shared" si="6"/>
        <v/>
      </c>
      <c r="S44" t="str">
        <f t="shared" si="7"/>
        <v>[required('A')]</v>
      </c>
      <c r="T44" s="1" t="str">
        <f t="shared" si="8"/>
        <v>['O'</v>
      </c>
      <c r="U44" t="str">
        <f t="shared" si="9"/>
        <v/>
      </c>
      <c r="V44" t="str">
        <f t="shared" si="10"/>
        <v/>
      </c>
      <c r="W44" t="str">
        <f t="shared" si="11"/>
        <v>['O']</v>
      </c>
      <c r="X44" t="str">
        <f t="shared" si="12"/>
        <v>section(hdr, 'CV').&lt;&gt;subsection(hdr, 'Image Processing').&lt;&gt;description(hdr, 'converts image to high dynamic range from RGB or gray').&lt;&gt;visual_style(hdr,  normal</v>
      </c>
      <c r="Y44" t="str">
        <f t="shared" si="13"/>
        <v>visual_style14</v>
      </c>
      <c r="Z44">
        <f t="shared" si="15"/>
        <v>14</v>
      </c>
      <c r="AA44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</v>
      </c>
    </row>
    <row r="45" spans="1:27" ht="14.25" customHeight="1" x14ac:dyDescent="0.2">
      <c r="C45" s="1" t="str">
        <f t="shared" si="16"/>
        <v>CV</v>
      </c>
      <c r="D45" s="1" t="str">
        <f t="shared" si="17"/>
        <v>Image Processing</v>
      </c>
      <c r="E45" s="2" t="s">
        <v>105</v>
      </c>
      <c r="F45" s="2" t="s">
        <v>8</v>
      </c>
      <c r="I45" s="4"/>
      <c r="J45" s="5" t="s">
        <v>10</v>
      </c>
      <c r="M45" s="2" t="s">
        <v>106</v>
      </c>
      <c r="O45" s="10" t="str">
        <f t="shared" si="3"/>
        <v>[required('A')</v>
      </c>
      <c r="P45" s="10" t="str">
        <f t="shared" si="4"/>
        <v/>
      </c>
      <c r="Q45" s="10" t="str">
        <f t="shared" si="5"/>
        <v/>
      </c>
      <c r="R45" s="10" t="str">
        <f t="shared" si="6"/>
        <v/>
      </c>
      <c r="S45" t="str">
        <f t="shared" si="7"/>
        <v>[required('A')]</v>
      </c>
      <c r="T45" s="1" t="str">
        <f t="shared" si="8"/>
        <v>['O'</v>
      </c>
      <c r="U45" t="str">
        <f t="shared" si="9"/>
        <v/>
      </c>
      <c r="V45" t="str">
        <f t="shared" si="10"/>
        <v/>
      </c>
      <c r="W45" t="str">
        <f t="shared" si="11"/>
        <v>['O']</v>
      </c>
      <c r="X45" t="str">
        <f t="shared" si="12"/>
        <v>section(dehdr, 'CV').&lt;&gt;subsection(dehdr, 'Image Processing').&lt;&gt;description(dehdr, 'converts HDR image to RGB').&lt;&gt;visual_style(dehdr,  normal</v>
      </c>
      <c r="Y45" t="str">
        <f t="shared" si="13"/>
        <v>visual_style14</v>
      </c>
      <c r="Z45">
        <f t="shared" si="15"/>
        <v>14</v>
      </c>
      <c r="AA45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</v>
      </c>
    </row>
    <row r="46" spans="1:27" ht="14.25" customHeight="1" x14ac:dyDescent="0.2">
      <c r="C46" s="1" t="str">
        <f t="shared" si="16"/>
        <v>CV</v>
      </c>
      <c r="D46" s="1" t="str">
        <f t="shared" si="17"/>
        <v>Image Processing</v>
      </c>
      <c r="E46" s="2" t="s">
        <v>107</v>
      </c>
      <c r="F46" s="2" t="s">
        <v>108</v>
      </c>
      <c r="G46" s="2" t="s">
        <v>109</v>
      </c>
      <c r="H46" s="2" t="s">
        <v>9</v>
      </c>
      <c r="I46" s="4" t="s">
        <v>110</v>
      </c>
      <c r="J46" s="5" t="s">
        <v>10</v>
      </c>
      <c r="M46" s="2" t="s">
        <v>111</v>
      </c>
      <c r="O46" s="10" t="str">
        <f t="shared" si="3"/>
        <v>[required('R')</v>
      </c>
      <c r="P46" s="10" t="str">
        <f t="shared" si="4"/>
        <v>, required('G')</v>
      </c>
      <c r="Q46" s="10" t="str">
        <f t="shared" si="5"/>
        <v>, required('B')</v>
      </c>
      <c r="R46" s="10" t="str">
        <f t="shared" si="6"/>
        <v>, optional('A')</v>
      </c>
      <c r="S46" t="str">
        <f t="shared" si="7"/>
        <v>[required('R'), required('G'), required('B')]</v>
      </c>
      <c r="T46" s="1" t="str">
        <f t="shared" si="8"/>
        <v>['O'</v>
      </c>
      <c r="U46" t="str">
        <f t="shared" si="9"/>
        <v/>
      </c>
      <c r="V46" t="str">
        <f t="shared" si="10"/>
        <v/>
      </c>
      <c r="W46" t="str">
        <f t="shared" si="11"/>
        <v>['O']</v>
      </c>
      <c r="X46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Y46" t="str">
        <f t="shared" si="13"/>
        <v>visual_style14</v>
      </c>
      <c r="Z46">
        <f t="shared" si="15"/>
        <v>14</v>
      </c>
      <c r="AA46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</v>
      </c>
    </row>
    <row r="47" spans="1:27" ht="14.25" customHeight="1" x14ac:dyDescent="0.2">
      <c r="C47" s="1" t="str">
        <f t="shared" si="16"/>
        <v>CV</v>
      </c>
      <c r="D47" s="1" t="str">
        <f t="shared" si="17"/>
        <v>Image Processing</v>
      </c>
      <c r="E47" s="2" t="s">
        <v>112</v>
      </c>
      <c r="F47" s="2" t="s">
        <v>8</v>
      </c>
      <c r="I47" s="4"/>
      <c r="J47" s="5" t="s">
        <v>108</v>
      </c>
      <c r="K47" s="2" t="s">
        <v>109</v>
      </c>
      <c r="L47" s="2" t="s">
        <v>9</v>
      </c>
      <c r="M47" s="2" t="s">
        <v>113</v>
      </c>
      <c r="O47" s="10" t="str">
        <f t="shared" si="3"/>
        <v>[required('A')</v>
      </c>
      <c r="P47" s="10" t="str">
        <f t="shared" si="4"/>
        <v/>
      </c>
      <c r="Q47" s="10" t="str">
        <f t="shared" si="5"/>
        <v/>
      </c>
      <c r="R47" s="10" t="str">
        <f t="shared" si="6"/>
        <v/>
      </c>
      <c r="S47" t="str">
        <f t="shared" si="7"/>
        <v>[required('A')]</v>
      </c>
      <c r="T47" s="1" t="str">
        <f t="shared" si="8"/>
        <v>['R'</v>
      </c>
      <c r="U47" t="str">
        <f t="shared" si="9"/>
        <v>, 'G'</v>
      </c>
      <c r="V47" t="str">
        <f t="shared" si="10"/>
        <v>, 'B'</v>
      </c>
      <c r="W47" t="str">
        <f t="shared" si="11"/>
        <v>['R', 'G', 'B']</v>
      </c>
      <c r="X47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Y47" t="str">
        <f t="shared" si="13"/>
        <v>visual_style14</v>
      </c>
      <c r="Z47">
        <f t="shared" si="15"/>
        <v>14</v>
      </c>
      <c r="AA47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</v>
      </c>
    </row>
    <row r="48" spans="1:27" ht="14.25" customHeight="1" x14ac:dyDescent="0.2">
      <c r="C48" s="1" t="str">
        <f t="shared" si="16"/>
        <v>CV</v>
      </c>
      <c r="D48" s="1" t="str">
        <f t="shared" si="17"/>
        <v>Image Processing</v>
      </c>
      <c r="E48" s="2" t="s">
        <v>114</v>
      </c>
      <c r="F48" s="2" t="s">
        <v>8</v>
      </c>
      <c r="G48" s="2" t="s">
        <v>115</v>
      </c>
      <c r="I48" s="4"/>
      <c r="J48" s="5" t="s">
        <v>10</v>
      </c>
      <c r="M48" s="2" t="s">
        <v>116</v>
      </c>
      <c r="N48" s="2" t="s">
        <v>117</v>
      </c>
      <c r="O48" s="10" t="str">
        <f t="shared" si="3"/>
        <v>[required('A')</v>
      </c>
      <c r="P48" s="10" t="str">
        <f t="shared" si="4"/>
        <v>, optional('M')</v>
      </c>
      <c r="Q48" s="10" t="str">
        <f t="shared" si="5"/>
        <v/>
      </c>
      <c r="R48" s="10" t="str">
        <f t="shared" si="6"/>
        <v/>
      </c>
      <c r="S48" t="str">
        <f t="shared" si="7"/>
        <v>[required('A'), optional('M')]</v>
      </c>
      <c r="T48" s="1" t="str">
        <f t="shared" si="8"/>
        <v>['O'</v>
      </c>
      <c r="U48" t="str">
        <f t="shared" si="9"/>
        <v/>
      </c>
      <c r="V48" t="str">
        <f t="shared" si="10"/>
        <v/>
      </c>
      <c r="W48" t="str">
        <f t="shared" si="11"/>
        <v>['O']</v>
      </c>
      <c r="X48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visual_style14</v>
      </c>
      <c r="Y48" t="str">
        <f t="shared" si="13"/>
        <v>visual_style14</v>
      </c>
      <c r="Z48">
        <f t="shared" si="15"/>
        <v>14</v>
      </c>
      <c r="AA48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visual_style14).&lt;&gt;inputs(pixel, [required('A'), optional('M')]).&lt;&gt;outputs(pixel, ['O']).</v>
      </c>
    </row>
    <row r="49" spans="1:27" ht="14.25" customHeight="1" x14ac:dyDescent="0.2">
      <c r="C49" s="1" t="str">
        <f t="shared" si="16"/>
        <v>CV</v>
      </c>
      <c r="D49" s="1" t="str">
        <f t="shared" si="17"/>
        <v>Image Processing</v>
      </c>
      <c r="E49" s="2" t="s">
        <v>118</v>
      </c>
      <c r="F49" s="2" t="s">
        <v>8</v>
      </c>
      <c r="G49" s="2" t="s">
        <v>119</v>
      </c>
      <c r="H49" s="2" t="s">
        <v>120</v>
      </c>
      <c r="I49" s="4"/>
      <c r="J49" s="5" t="s">
        <v>10</v>
      </c>
      <c r="M49" s="2" t="s">
        <v>121</v>
      </c>
      <c r="O49" s="10" t="str">
        <f t="shared" si="3"/>
        <v>[required('A')</v>
      </c>
      <c r="P49" s="10" t="str">
        <f t="shared" si="4"/>
        <v>, required('Prop')</v>
      </c>
      <c r="Q49" s="10" t="str">
        <f t="shared" si="5"/>
        <v>, required('Block')</v>
      </c>
      <c r="R49" s="10" t="str">
        <f t="shared" si="6"/>
        <v/>
      </c>
      <c r="S49" t="str">
        <f t="shared" si="7"/>
        <v>[required('A'), required('Prop'), required('Block')]</v>
      </c>
      <c r="T49" s="1" t="str">
        <f t="shared" si="8"/>
        <v>['O'</v>
      </c>
      <c r="U49" t="str">
        <f t="shared" si="9"/>
        <v/>
      </c>
      <c r="V49" t="str">
        <f t="shared" si="10"/>
        <v/>
      </c>
      <c r="W49" t="str">
        <f t="shared" si="11"/>
        <v>['O']</v>
      </c>
      <c r="X49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Y49" t="str">
        <f t="shared" si="13"/>
        <v>visual_style15</v>
      </c>
      <c r="Z49">
        <f t="shared" si="15"/>
        <v>15</v>
      </c>
      <c r="AA49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</v>
      </c>
    </row>
    <row r="50" spans="1:27" ht="14.25" customHeight="1" x14ac:dyDescent="0.2">
      <c r="C50" s="1" t="str">
        <f t="shared" si="16"/>
        <v>CV</v>
      </c>
      <c r="D50" s="1" t="str">
        <f t="shared" si="17"/>
        <v>Image Processing</v>
      </c>
      <c r="E50" s="2" t="s">
        <v>122</v>
      </c>
      <c r="F50" s="2" t="s">
        <v>8</v>
      </c>
      <c r="G50" s="2" t="s">
        <v>9</v>
      </c>
      <c r="H50" s="2" t="s">
        <v>86</v>
      </c>
      <c r="I50" s="4"/>
      <c r="J50" s="5" t="s">
        <v>10</v>
      </c>
      <c r="M50" s="2" t="s">
        <v>123</v>
      </c>
      <c r="O50" s="10" t="str">
        <f t="shared" si="3"/>
        <v>[required('A')</v>
      </c>
      <c r="P50" s="10" t="str">
        <f t="shared" si="4"/>
        <v>, required('B')</v>
      </c>
      <c r="Q50" s="10" t="str">
        <f t="shared" si="5"/>
        <v>, required('Mask')</v>
      </c>
      <c r="R50" s="10" t="str">
        <f t="shared" si="6"/>
        <v/>
      </c>
      <c r="S50" t="str">
        <f t="shared" si="7"/>
        <v>[required('A'), required('B'), required('Mask')]</v>
      </c>
      <c r="T50" s="1" t="str">
        <f t="shared" si="8"/>
        <v>['O'</v>
      </c>
      <c r="U50" t="str">
        <f t="shared" si="9"/>
        <v/>
      </c>
      <c r="V50" t="str">
        <f t="shared" si="10"/>
        <v/>
      </c>
      <c r="W50" t="str">
        <f t="shared" si="11"/>
        <v>['O']</v>
      </c>
      <c r="X50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Y50" t="str">
        <f t="shared" si="13"/>
        <v>visual_style15</v>
      </c>
      <c r="Z50">
        <f t="shared" si="15"/>
        <v>15</v>
      </c>
      <c r="AA50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</v>
      </c>
    </row>
    <row r="51" spans="1:27" ht="14.25" customHeight="1" x14ac:dyDescent="0.2">
      <c r="C51" s="1" t="str">
        <f t="shared" si="16"/>
        <v>CV</v>
      </c>
      <c r="D51" s="1" t="str">
        <f t="shared" si="17"/>
        <v>Image Processing</v>
      </c>
      <c r="E51" s="2" t="s">
        <v>124</v>
      </c>
      <c r="F51" s="2" t="s">
        <v>8</v>
      </c>
      <c r="G51" s="2" t="s">
        <v>125</v>
      </c>
      <c r="I51" s="4"/>
      <c r="J51" s="5" t="s">
        <v>10</v>
      </c>
      <c r="O51" s="10" t="str">
        <f t="shared" si="3"/>
        <v>[required('A')</v>
      </c>
      <c r="P51" s="10" t="str">
        <f t="shared" si="4"/>
        <v>, required('Kernal')</v>
      </c>
      <c r="Q51" s="10" t="str">
        <f t="shared" si="5"/>
        <v/>
      </c>
      <c r="R51" s="10" t="str">
        <f t="shared" si="6"/>
        <v/>
      </c>
      <c r="S51" t="str">
        <f t="shared" si="7"/>
        <v>[required('A'), required('Kernal')]</v>
      </c>
      <c r="T51" s="1" t="str">
        <f t="shared" si="8"/>
        <v>['O'</v>
      </c>
      <c r="U51" t="str">
        <f t="shared" si="9"/>
        <v/>
      </c>
      <c r="V51" t="str">
        <f t="shared" si="10"/>
        <v/>
      </c>
      <c r="W51" t="str">
        <f t="shared" si="11"/>
        <v>['O']</v>
      </c>
      <c r="X51" t="str">
        <f t="shared" si="12"/>
        <v>section(convolve, 'CV').&lt;&gt;subsection(convolve, 'Image Processing').&lt;&gt;description(convolve, '').&lt;&gt;visual_style(convolve,  normal</v>
      </c>
      <c r="Y51" t="str">
        <f t="shared" si="13"/>
        <v>visual_style15</v>
      </c>
      <c r="Z51">
        <f t="shared" si="15"/>
        <v>15</v>
      </c>
      <c r="AA51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</v>
      </c>
    </row>
    <row r="52" spans="1:27" ht="14.25" customHeight="1" x14ac:dyDescent="0.2">
      <c r="B52" s="2" t="s">
        <v>126</v>
      </c>
      <c r="C52" s="1" t="str">
        <f t="shared" si="16"/>
        <v>CV</v>
      </c>
      <c r="D52" s="1" t="str">
        <f t="shared" si="17"/>
        <v>FrequencyDomain</v>
      </c>
      <c r="I52" s="4"/>
      <c r="J52" s="5"/>
      <c r="O52" s="10" t="str">
        <f t="shared" si="3"/>
        <v>[</v>
      </c>
      <c r="P52" s="10" t="str">
        <f t="shared" si="4"/>
        <v/>
      </c>
      <c r="Q52" s="10" t="str">
        <f t="shared" si="5"/>
        <v/>
      </c>
      <c r="R52" s="10" t="str">
        <f t="shared" si="6"/>
        <v/>
      </c>
      <c r="S52" t="str">
        <f t="shared" si="7"/>
        <v>[]</v>
      </c>
      <c r="T52" s="1" t="str">
        <f t="shared" si="8"/>
        <v>[</v>
      </c>
      <c r="U52" t="str">
        <f t="shared" si="9"/>
        <v/>
      </c>
      <c r="V52" t="str">
        <f t="shared" si="10"/>
        <v/>
      </c>
      <c r="W52" t="str">
        <f t="shared" si="11"/>
        <v>[]</v>
      </c>
      <c r="X52" t="str">
        <f t="shared" si="12"/>
        <v/>
      </c>
      <c r="Y52" t="str">
        <f t="shared" si="13"/>
        <v>visual_style15</v>
      </c>
      <c r="Z52">
        <f t="shared" si="15"/>
        <v>15</v>
      </c>
      <c r="AA52" t="str">
        <f t="shared" si="14"/>
        <v/>
      </c>
    </row>
    <row r="53" spans="1:27" ht="14.25" customHeight="1" x14ac:dyDescent="0.2">
      <c r="C53" s="1" t="str">
        <f t="shared" si="16"/>
        <v>CV</v>
      </c>
      <c r="D53" s="1" t="str">
        <f t="shared" si="17"/>
        <v>FrequencyDomain</v>
      </c>
      <c r="E53" s="2" t="s">
        <v>127</v>
      </c>
      <c r="F53" s="2" t="s">
        <v>8</v>
      </c>
      <c r="I53" s="4"/>
      <c r="J53" s="5" t="s">
        <v>10</v>
      </c>
      <c r="M53" s="2" t="s">
        <v>128</v>
      </c>
      <c r="O53" s="10" t="str">
        <f t="shared" si="3"/>
        <v>[required('A')</v>
      </c>
      <c r="P53" s="10" t="str">
        <f t="shared" si="4"/>
        <v/>
      </c>
      <c r="Q53" s="10" t="str">
        <f t="shared" si="5"/>
        <v/>
      </c>
      <c r="R53" s="10" t="str">
        <f t="shared" si="6"/>
        <v/>
      </c>
      <c r="S53" t="str">
        <f t="shared" si="7"/>
        <v>[required('A')]</v>
      </c>
      <c r="T53" s="1" t="str">
        <f t="shared" si="8"/>
        <v>['O'</v>
      </c>
      <c r="U53" t="str">
        <f t="shared" si="9"/>
        <v/>
      </c>
      <c r="V53" t="str">
        <f t="shared" si="10"/>
        <v/>
      </c>
      <c r="W53" t="str">
        <f t="shared" si="11"/>
        <v>['O']</v>
      </c>
      <c r="X53" t="str">
        <f t="shared" si="12"/>
        <v>section(fft, 'CV').&lt;&gt;subsection(fft, 'FrequencyDomain').&lt;&gt;description(fft, 'Output is the forward fourier transform as complex16').&lt;&gt;visual_style(fft,  normal</v>
      </c>
      <c r="Y53" t="str">
        <f t="shared" si="13"/>
        <v>visual_style15</v>
      </c>
      <c r="Z53">
        <f t="shared" si="15"/>
        <v>15</v>
      </c>
      <c r="AA53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</v>
      </c>
    </row>
    <row r="54" spans="1:27" s="9" customFormat="1" ht="21.75" customHeight="1" x14ac:dyDescent="0.2">
      <c r="A54" s="6"/>
      <c r="B54" s="6"/>
      <c r="C54" s="1" t="str">
        <f t="shared" ref="C54:C80" si="18">IF(ISBLANK(A54),C53,A54)</f>
        <v>CV</v>
      </c>
      <c r="D54" s="1" t="str">
        <f t="shared" ref="D54:D80" si="19">IF(NOT(ISBLANK(B54)), B54, IF(ISBLANK(A54), D53,A54))</f>
        <v>FrequencyDomain</v>
      </c>
      <c r="E54" s="6" t="s">
        <v>155</v>
      </c>
      <c r="F54" s="6" t="s">
        <v>8</v>
      </c>
      <c r="G54" s="6"/>
      <c r="H54" s="6"/>
      <c r="I54" s="7"/>
      <c r="J54" s="8" t="s">
        <v>10</v>
      </c>
      <c r="K54" s="6"/>
      <c r="L54" s="6"/>
      <c r="M54" s="6" t="s">
        <v>156</v>
      </c>
      <c r="N54" s="6"/>
      <c r="O54" s="10" t="str">
        <f t="shared" si="3"/>
        <v>[required('A')</v>
      </c>
      <c r="P54" s="10"/>
      <c r="Q54" s="10"/>
      <c r="R54" s="10"/>
      <c r="S54" t="str">
        <f t="shared" si="7"/>
        <v>[required('A')]</v>
      </c>
      <c r="T54" s="9" t="str">
        <f t="shared" si="8"/>
        <v>['O'</v>
      </c>
      <c r="U54" t="str">
        <f t="shared" ref="U54:U100" si="20">IF(ISBLANK(K54),"",", '"&amp;K54&amp;"'")</f>
        <v/>
      </c>
      <c r="V54" t="str">
        <f t="shared" ref="V54:V100" si="21">IF(ISBLANK(L54),"",", '"&amp;L54&amp;"'")</f>
        <v/>
      </c>
      <c r="W54" t="str">
        <f t="shared" ref="W54:W100" si="22">T54&amp;U54&amp;V54&amp;"]"</f>
        <v>['O']</v>
      </c>
      <c r="X54" t="str">
        <f t="shared" ref="X54:X100" si="23">IF(ISBLANK(E54),"","section("&amp;E54&amp;", '"&amp;C54&amp;"').&lt;&gt;subsection("&amp;E54&amp;", '"&amp;D54&amp;"').&lt;&gt;description("&amp;E54&amp;", '"&amp;M54&amp;"').&lt;&gt;visual_style("&amp;E54&amp;",  "&amp;IF(ISBLANK(N54),"normal",Y54))</f>
        <v>section(inv_fft, 'CV').&lt;&gt;subsection(inv_fft, 'FrequencyDomain').&lt;&gt;description(inv_fft, 'Input is the ft spectrum as complex16, Output is the inverse fourier transform as gray').&lt;&gt;visual_style(inv_fft,  normal</v>
      </c>
      <c r="Y54" t="str">
        <f t="shared" si="13"/>
        <v>visual_style15</v>
      </c>
      <c r="Z54">
        <f t="shared" ref="Z54:Z100" si="24">IF(ISBLANK(N53),Z53,Z53+1)</f>
        <v>15</v>
      </c>
      <c r="AA54" t="str">
        <f t="shared" ref="AA54:AA100" si="25">IF(ISBLANK(E54),"","&lt;&gt;%  ===== "&amp;E54&amp;" ===========&lt;&gt;"&amp;X54&amp;").&lt;&gt;inputs("&amp;E54&amp;", "&amp;S54&amp;").&lt;&gt;outputs("&amp;E54&amp;", "&amp;W54&amp;").")</f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</v>
      </c>
    </row>
    <row r="55" spans="1:27" ht="21.75" customHeight="1" x14ac:dyDescent="0.2">
      <c r="C55" s="1" t="str">
        <f t="shared" si="18"/>
        <v>CV</v>
      </c>
      <c r="D55" s="1" t="str">
        <f t="shared" si="19"/>
        <v>FrequencyDomain</v>
      </c>
      <c r="I55" s="4"/>
      <c r="J55" s="5"/>
      <c r="O55" s="10" t="str">
        <f t="shared" ref="O55:O100" si="26">"["&amp;IF(RIGHT(F55,5)="(opt)","optional('"&amp;LEFT(F55,LEN(F55)-5)&amp;"')",IF(ISBLANK(F55),"","required('"&amp;F55&amp;"')"))</f>
        <v>[</v>
      </c>
      <c r="S55" t="str">
        <f t="shared" si="7"/>
        <v>[]</v>
      </c>
      <c r="T55" s="9" t="str">
        <f t="shared" ref="T55:T100" si="27">"["&amp;IF(ISBLANK(J55),"", "'"&amp;J55&amp;"'")</f>
        <v>[</v>
      </c>
      <c r="U55" t="str">
        <f t="shared" si="20"/>
        <v/>
      </c>
      <c r="V55" t="str">
        <f t="shared" si="21"/>
        <v/>
      </c>
      <c r="W55" t="str">
        <f t="shared" si="22"/>
        <v>[]</v>
      </c>
      <c r="X55" t="str">
        <f t="shared" si="23"/>
        <v/>
      </c>
      <c r="Y55" t="str">
        <f t="shared" si="13"/>
        <v>visual_style15</v>
      </c>
      <c r="Z55">
        <f t="shared" si="24"/>
        <v>15</v>
      </c>
      <c r="AA55" t="str">
        <f t="shared" si="25"/>
        <v/>
      </c>
    </row>
    <row r="56" spans="1:27" ht="21.75" customHeight="1" x14ac:dyDescent="0.2">
      <c r="C56" s="1" t="str">
        <f t="shared" si="18"/>
        <v>CV</v>
      </c>
      <c r="D56" s="1" t="str">
        <f t="shared" si="19"/>
        <v>FrequencyDomain</v>
      </c>
      <c r="I56" s="4"/>
      <c r="J56" s="5"/>
      <c r="O56" s="10" t="str">
        <f t="shared" si="26"/>
        <v>[</v>
      </c>
      <c r="S56" t="str">
        <f t="shared" si="7"/>
        <v>[]</v>
      </c>
      <c r="T56" s="9" t="str">
        <f t="shared" si="27"/>
        <v>[</v>
      </c>
      <c r="U56" t="str">
        <f t="shared" si="20"/>
        <v/>
      </c>
      <c r="V56" t="str">
        <f t="shared" si="21"/>
        <v/>
      </c>
      <c r="W56" t="str">
        <f t="shared" si="22"/>
        <v>[]</v>
      </c>
      <c r="X56" t="str">
        <f t="shared" si="23"/>
        <v/>
      </c>
      <c r="Y56" t="str">
        <f t="shared" si="13"/>
        <v>visual_style15</v>
      </c>
      <c r="Z56">
        <f t="shared" si="24"/>
        <v>15</v>
      </c>
      <c r="AA56" t="str">
        <f t="shared" si="25"/>
        <v/>
      </c>
    </row>
    <row r="57" spans="1:27" ht="21.75" customHeight="1" x14ac:dyDescent="0.2">
      <c r="C57" s="1" t="str">
        <f t="shared" si="18"/>
        <v>CV</v>
      </c>
      <c r="D57" s="1" t="str">
        <f t="shared" si="19"/>
        <v>FrequencyDomain</v>
      </c>
      <c r="I57" s="4"/>
      <c r="J57" s="5"/>
      <c r="O57" s="10" t="str">
        <f t="shared" si="26"/>
        <v>[</v>
      </c>
      <c r="S57" t="str">
        <f t="shared" si="7"/>
        <v>[]</v>
      </c>
      <c r="T57" s="9" t="str">
        <f t="shared" si="27"/>
        <v>[</v>
      </c>
      <c r="U57" t="str">
        <f t="shared" si="20"/>
        <v/>
      </c>
      <c r="V57" t="str">
        <f t="shared" si="21"/>
        <v/>
      </c>
      <c r="W57" t="str">
        <f t="shared" si="22"/>
        <v>[]</v>
      </c>
      <c r="X57" t="str">
        <f t="shared" si="23"/>
        <v/>
      </c>
      <c r="Y57" t="str">
        <f t="shared" si="13"/>
        <v>visual_style15</v>
      </c>
      <c r="Z57">
        <f t="shared" si="24"/>
        <v>15</v>
      </c>
      <c r="AA57" t="str">
        <f t="shared" si="25"/>
        <v/>
      </c>
    </row>
    <row r="58" spans="1:27" ht="21.75" customHeight="1" x14ac:dyDescent="0.2">
      <c r="C58" s="1" t="str">
        <f t="shared" si="18"/>
        <v>CV</v>
      </c>
      <c r="D58" s="1" t="str">
        <f t="shared" si="19"/>
        <v>FrequencyDomain</v>
      </c>
      <c r="I58" s="4"/>
      <c r="J58" s="5"/>
      <c r="O58" s="10" t="str">
        <f t="shared" si="26"/>
        <v>[</v>
      </c>
      <c r="S58" t="str">
        <f t="shared" si="7"/>
        <v>[]</v>
      </c>
      <c r="T58" s="9" t="str">
        <f t="shared" si="27"/>
        <v>[</v>
      </c>
      <c r="U58" t="str">
        <f t="shared" si="20"/>
        <v/>
      </c>
      <c r="V58" t="str">
        <f t="shared" si="21"/>
        <v/>
      </c>
      <c r="W58" t="str">
        <f t="shared" si="22"/>
        <v>[]</v>
      </c>
      <c r="X58" t="str">
        <f t="shared" si="23"/>
        <v/>
      </c>
      <c r="Y58" t="str">
        <f t="shared" si="13"/>
        <v>visual_style15</v>
      </c>
      <c r="Z58">
        <f t="shared" si="24"/>
        <v>15</v>
      </c>
      <c r="AA58" t="str">
        <f t="shared" si="25"/>
        <v/>
      </c>
    </row>
    <row r="59" spans="1:27" ht="21.75" customHeight="1" x14ac:dyDescent="0.2">
      <c r="C59" s="1" t="str">
        <f t="shared" si="18"/>
        <v>CV</v>
      </c>
      <c r="D59" s="1" t="str">
        <f t="shared" si="19"/>
        <v>FrequencyDomain</v>
      </c>
      <c r="I59" s="4"/>
      <c r="J59" s="5"/>
      <c r="O59" s="10" t="str">
        <f t="shared" si="26"/>
        <v>[</v>
      </c>
      <c r="S59" t="str">
        <f t="shared" si="7"/>
        <v>[]</v>
      </c>
      <c r="T59" s="9" t="str">
        <f t="shared" si="27"/>
        <v>[</v>
      </c>
      <c r="U59" t="str">
        <f t="shared" si="20"/>
        <v/>
      </c>
      <c r="V59" t="str">
        <f t="shared" si="21"/>
        <v/>
      </c>
      <c r="W59" t="str">
        <f t="shared" si="22"/>
        <v>[]</v>
      </c>
      <c r="X59" t="str">
        <f t="shared" si="23"/>
        <v/>
      </c>
      <c r="Y59" t="str">
        <f t="shared" si="13"/>
        <v>visual_style15</v>
      </c>
      <c r="Z59">
        <f t="shared" si="24"/>
        <v>15</v>
      </c>
      <c r="AA59" t="str">
        <f t="shared" si="25"/>
        <v/>
      </c>
    </row>
    <row r="60" spans="1:27" ht="21.75" customHeight="1" x14ac:dyDescent="0.2">
      <c r="C60" s="1" t="str">
        <f t="shared" si="18"/>
        <v>CV</v>
      </c>
      <c r="D60" s="1" t="str">
        <f t="shared" si="19"/>
        <v>FrequencyDomain</v>
      </c>
      <c r="I60" s="4"/>
      <c r="J60" s="5"/>
      <c r="O60" s="10" t="str">
        <f t="shared" si="26"/>
        <v>[</v>
      </c>
      <c r="S60" t="str">
        <f t="shared" si="7"/>
        <v>[]</v>
      </c>
      <c r="T60" s="9" t="str">
        <f t="shared" si="27"/>
        <v>[</v>
      </c>
      <c r="U60" t="str">
        <f t="shared" si="20"/>
        <v/>
      </c>
      <c r="V60" t="str">
        <f t="shared" si="21"/>
        <v/>
      </c>
      <c r="W60" t="str">
        <f t="shared" si="22"/>
        <v>[]</v>
      </c>
      <c r="X60" t="str">
        <f t="shared" si="23"/>
        <v/>
      </c>
      <c r="Y60" t="str">
        <f t="shared" si="13"/>
        <v>visual_style15</v>
      </c>
      <c r="Z60">
        <f t="shared" si="24"/>
        <v>15</v>
      </c>
      <c r="AA60" t="str">
        <f t="shared" si="25"/>
        <v/>
      </c>
    </row>
    <row r="61" spans="1:27" ht="21.75" customHeight="1" x14ac:dyDescent="0.2">
      <c r="C61" s="1" t="str">
        <f t="shared" si="18"/>
        <v>CV</v>
      </c>
      <c r="D61" s="1" t="str">
        <f t="shared" si="19"/>
        <v>FrequencyDomain</v>
      </c>
      <c r="I61" s="4"/>
      <c r="J61" s="5"/>
      <c r="O61" s="10" t="str">
        <f t="shared" si="26"/>
        <v>[</v>
      </c>
      <c r="S61" t="str">
        <f t="shared" si="7"/>
        <v>[]</v>
      </c>
      <c r="T61" s="9" t="str">
        <f t="shared" si="27"/>
        <v>[</v>
      </c>
      <c r="U61" t="str">
        <f t="shared" si="20"/>
        <v/>
      </c>
      <c r="V61" t="str">
        <f t="shared" si="21"/>
        <v/>
      </c>
      <c r="W61" t="str">
        <f t="shared" si="22"/>
        <v>[]</v>
      </c>
      <c r="X61" t="str">
        <f t="shared" si="23"/>
        <v/>
      </c>
      <c r="Y61" t="str">
        <f t="shared" si="13"/>
        <v>visual_style15</v>
      </c>
      <c r="Z61">
        <f t="shared" si="24"/>
        <v>15</v>
      </c>
      <c r="AA61" t="str">
        <f t="shared" si="25"/>
        <v/>
      </c>
    </row>
    <row r="62" spans="1:27" ht="21.75" customHeight="1" x14ac:dyDescent="0.2">
      <c r="C62" s="1" t="str">
        <f t="shared" si="18"/>
        <v>CV</v>
      </c>
      <c r="D62" s="1" t="str">
        <f t="shared" si="19"/>
        <v>FrequencyDomain</v>
      </c>
      <c r="I62" s="4"/>
      <c r="J62" s="5"/>
      <c r="O62" s="10" t="str">
        <f t="shared" si="26"/>
        <v>[</v>
      </c>
      <c r="S62" t="str">
        <f t="shared" si="7"/>
        <v>[]</v>
      </c>
      <c r="T62" s="9" t="str">
        <f t="shared" si="27"/>
        <v>[</v>
      </c>
      <c r="U62" t="str">
        <f t="shared" si="20"/>
        <v/>
      </c>
      <c r="V62" t="str">
        <f t="shared" si="21"/>
        <v/>
      </c>
      <c r="W62" t="str">
        <f t="shared" si="22"/>
        <v>[]</v>
      </c>
      <c r="X62" t="str">
        <f t="shared" si="23"/>
        <v/>
      </c>
      <c r="Y62" t="str">
        <f t="shared" si="13"/>
        <v>visual_style15</v>
      </c>
      <c r="Z62">
        <f t="shared" si="24"/>
        <v>15</v>
      </c>
      <c r="AA62" t="str">
        <f t="shared" si="25"/>
        <v/>
      </c>
    </row>
    <row r="63" spans="1:27" ht="21.75" customHeight="1" x14ac:dyDescent="0.2">
      <c r="C63" s="1" t="str">
        <f t="shared" si="18"/>
        <v>CV</v>
      </c>
      <c r="D63" s="1" t="str">
        <f t="shared" si="19"/>
        <v>FrequencyDomain</v>
      </c>
      <c r="I63" s="4"/>
      <c r="J63" s="5"/>
      <c r="O63" s="10" t="str">
        <f t="shared" si="26"/>
        <v>[</v>
      </c>
      <c r="S63" t="str">
        <f t="shared" si="7"/>
        <v>[]</v>
      </c>
      <c r="T63" s="9" t="str">
        <f t="shared" si="27"/>
        <v>[</v>
      </c>
      <c r="U63" t="str">
        <f t="shared" si="20"/>
        <v/>
      </c>
      <c r="V63" t="str">
        <f t="shared" si="21"/>
        <v/>
      </c>
      <c r="W63" t="str">
        <f t="shared" si="22"/>
        <v>[]</v>
      </c>
      <c r="X63" t="str">
        <f t="shared" si="23"/>
        <v/>
      </c>
      <c r="Y63" t="str">
        <f t="shared" si="13"/>
        <v>visual_style15</v>
      </c>
      <c r="Z63">
        <f t="shared" si="24"/>
        <v>15</v>
      </c>
      <c r="AA63" t="str">
        <f t="shared" si="25"/>
        <v/>
      </c>
    </row>
    <row r="64" spans="1:27" ht="21.75" customHeight="1" x14ac:dyDescent="0.2">
      <c r="C64" s="1" t="str">
        <f t="shared" si="18"/>
        <v>CV</v>
      </c>
      <c r="D64" s="1" t="str">
        <f t="shared" si="19"/>
        <v>FrequencyDomain</v>
      </c>
      <c r="I64" s="4"/>
      <c r="J64" s="5"/>
      <c r="O64" s="10" t="str">
        <f t="shared" si="26"/>
        <v>[</v>
      </c>
      <c r="S64" t="str">
        <f t="shared" si="7"/>
        <v>[]</v>
      </c>
      <c r="T64" s="9" t="str">
        <f t="shared" si="27"/>
        <v>[</v>
      </c>
      <c r="U64" t="str">
        <f t="shared" si="20"/>
        <v/>
      </c>
      <c r="V64" t="str">
        <f t="shared" si="21"/>
        <v/>
      </c>
      <c r="W64" t="str">
        <f t="shared" si="22"/>
        <v>[]</v>
      </c>
      <c r="X64" t="str">
        <f t="shared" si="23"/>
        <v/>
      </c>
      <c r="Y64" t="str">
        <f t="shared" si="13"/>
        <v>visual_style15</v>
      </c>
      <c r="Z64">
        <f t="shared" si="24"/>
        <v>15</v>
      </c>
      <c r="AA64" t="str">
        <f t="shared" si="25"/>
        <v/>
      </c>
    </row>
    <row r="65" spans="3:27" ht="21.75" customHeight="1" x14ac:dyDescent="0.2">
      <c r="C65" s="1" t="str">
        <f t="shared" si="18"/>
        <v>CV</v>
      </c>
      <c r="D65" s="1" t="str">
        <f t="shared" si="19"/>
        <v>FrequencyDomain</v>
      </c>
      <c r="I65" s="4"/>
      <c r="J65" s="5"/>
      <c r="O65" s="10" t="str">
        <f t="shared" si="26"/>
        <v>[</v>
      </c>
      <c r="S65" t="str">
        <f t="shared" si="7"/>
        <v>[]</v>
      </c>
      <c r="T65" s="9" t="str">
        <f t="shared" si="27"/>
        <v>[</v>
      </c>
      <c r="U65" t="str">
        <f t="shared" si="20"/>
        <v/>
      </c>
      <c r="V65" t="str">
        <f t="shared" si="21"/>
        <v/>
      </c>
      <c r="W65" t="str">
        <f t="shared" si="22"/>
        <v>[]</v>
      </c>
      <c r="X65" t="str">
        <f t="shared" si="23"/>
        <v/>
      </c>
      <c r="Y65" t="str">
        <f t="shared" si="13"/>
        <v>visual_style15</v>
      </c>
      <c r="Z65">
        <f t="shared" si="24"/>
        <v>15</v>
      </c>
      <c r="AA65" t="str">
        <f t="shared" si="25"/>
        <v/>
      </c>
    </row>
    <row r="66" spans="3:27" ht="21.75" customHeight="1" x14ac:dyDescent="0.2">
      <c r="C66" s="1" t="str">
        <f t="shared" si="18"/>
        <v>CV</v>
      </c>
      <c r="D66" s="1" t="str">
        <f t="shared" si="19"/>
        <v>FrequencyDomain</v>
      </c>
      <c r="I66" s="4"/>
      <c r="J66" s="5"/>
      <c r="O66" s="10" t="str">
        <f t="shared" si="26"/>
        <v>[</v>
      </c>
      <c r="S66" t="str">
        <f t="shared" si="7"/>
        <v>[]</v>
      </c>
      <c r="T66" s="9" t="str">
        <f t="shared" si="27"/>
        <v>[</v>
      </c>
      <c r="U66" t="str">
        <f t="shared" si="20"/>
        <v/>
      </c>
      <c r="V66" t="str">
        <f t="shared" si="21"/>
        <v/>
      </c>
      <c r="W66" t="str">
        <f t="shared" si="22"/>
        <v>[]</v>
      </c>
      <c r="X66" t="str">
        <f t="shared" si="23"/>
        <v/>
      </c>
      <c r="Y66" t="str">
        <f t="shared" si="13"/>
        <v>visual_style15</v>
      </c>
      <c r="Z66">
        <f t="shared" si="24"/>
        <v>15</v>
      </c>
      <c r="AA66" t="str">
        <f t="shared" si="25"/>
        <v/>
      </c>
    </row>
    <row r="67" spans="3:27" ht="21.75" customHeight="1" x14ac:dyDescent="0.2">
      <c r="C67" s="1" t="str">
        <f t="shared" si="18"/>
        <v>CV</v>
      </c>
      <c r="D67" s="1" t="str">
        <f t="shared" si="19"/>
        <v>FrequencyDomain</v>
      </c>
      <c r="I67" s="4"/>
      <c r="J67" s="5"/>
      <c r="O67" s="10" t="str">
        <f t="shared" si="26"/>
        <v>[</v>
      </c>
      <c r="S67" t="str">
        <f t="shared" si="7"/>
        <v>[]</v>
      </c>
      <c r="T67" s="9" t="str">
        <f t="shared" si="27"/>
        <v>[</v>
      </c>
      <c r="U67" t="str">
        <f t="shared" si="20"/>
        <v/>
      </c>
      <c r="V67" t="str">
        <f t="shared" si="21"/>
        <v/>
      </c>
      <c r="W67" t="str">
        <f t="shared" si="22"/>
        <v>[]</v>
      </c>
      <c r="X67" t="str">
        <f t="shared" si="23"/>
        <v/>
      </c>
      <c r="Y67" t="str">
        <f t="shared" si="13"/>
        <v>visual_style15</v>
      </c>
      <c r="Z67">
        <f t="shared" si="24"/>
        <v>15</v>
      </c>
      <c r="AA67" t="str">
        <f t="shared" si="25"/>
        <v/>
      </c>
    </row>
    <row r="68" spans="3:27" ht="21.75" customHeight="1" x14ac:dyDescent="0.2">
      <c r="C68" s="1" t="str">
        <f t="shared" si="18"/>
        <v>CV</v>
      </c>
      <c r="D68" s="1" t="str">
        <f t="shared" si="19"/>
        <v>FrequencyDomain</v>
      </c>
      <c r="I68" s="4"/>
      <c r="J68" s="5"/>
      <c r="O68" s="10" t="str">
        <f t="shared" si="26"/>
        <v>[</v>
      </c>
      <c r="S68" t="str">
        <f t="shared" ref="S68:S100" si="28">O68&amp;P68&amp;Q68&amp;"]"</f>
        <v>[]</v>
      </c>
      <c r="T68" s="9" t="str">
        <f t="shared" si="27"/>
        <v>[</v>
      </c>
      <c r="U68" t="str">
        <f t="shared" si="20"/>
        <v/>
      </c>
      <c r="V68" t="str">
        <f t="shared" si="21"/>
        <v/>
      </c>
      <c r="W68" t="str">
        <f t="shared" si="22"/>
        <v>[]</v>
      </c>
      <c r="X68" t="str">
        <f t="shared" si="23"/>
        <v/>
      </c>
      <c r="Y68" t="str">
        <f t="shared" ref="Y68:Y100" si="29">"visual_style"&amp;Z68</f>
        <v>visual_style15</v>
      </c>
      <c r="Z68">
        <f t="shared" si="24"/>
        <v>15</v>
      </c>
      <c r="AA68" t="str">
        <f t="shared" si="25"/>
        <v/>
      </c>
    </row>
    <row r="69" spans="3:27" ht="21.75" customHeight="1" x14ac:dyDescent="0.2">
      <c r="C69" s="1" t="str">
        <f t="shared" si="18"/>
        <v>CV</v>
      </c>
      <c r="D69" s="1" t="str">
        <f t="shared" si="19"/>
        <v>FrequencyDomain</v>
      </c>
      <c r="I69" s="4"/>
      <c r="J69" s="5"/>
      <c r="O69" s="10" t="str">
        <f t="shared" si="26"/>
        <v>[</v>
      </c>
      <c r="S69" t="str">
        <f t="shared" si="28"/>
        <v>[]</v>
      </c>
      <c r="T69" s="9" t="str">
        <f t="shared" si="27"/>
        <v>[</v>
      </c>
      <c r="U69" t="str">
        <f t="shared" si="20"/>
        <v/>
      </c>
      <c r="V69" t="str">
        <f t="shared" si="21"/>
        <v/>
      </c>
      <c r="W69" t="str">
        <f t="shared" si="22"/>
        <v>[]</v>
      </c>
      <c r="X69" t="str">
        <f t="shared" si="23"/>
        <v/>
      </c>
      <c r="Y69" t="str">
        <f t="shared" si="29"/>
        <v>visual_style15</v>
      </c>
      <c r="Z69">
        <f t="shared" si="24"/>
        <v>15</v>
      </c>
      <c r="AA69" t="str">
        <f t="shared" si="25"/>
        <v/>
      </c>
    </row>
    <row r="70" spans="3:27" ht="21.75" customHeight="1" x14ac:dyDescent="0.2">
      <c r="C70" s="1" t="str">
        <f t="shared" si="18"/>
        <v>CV</v>
      </c>
      <c r="D70" s="1" t="str">
        <f t="shared" si="19"/>
        <v>FrequencyDomain</v>
      </c>
      <c r="I70" s="4"/>
      <c r="J70" s="5"/>
      <c r="O70" s="10" t="str">
        <f t="shared" si="26"/>
        <v>[</v>
      </c>
      <c r="S70" t="str">
        <f t="shared" si="28"/>
        <v>[]</v>
      </c>
      <c r="T70" s="9" t="str">
        <f t="shared" si="27"/>
        <v>[</v>
      </c>
      <c r="U70" t="str">
        <f t="shared" si="20"/>
        <v/>
      </c>
      <c r="V70" t="str">
        <f t="shared" si="21"/>
        <v/>
      </c>
      <c r="W70" t="str">
        <f t="shared" si="22"/>
        <v>[]</v>
      </c>
      <c r="X70" t="str">
        <f t="shared" si="23"/>
        <v/>
      </c>
      <c r="Y70" t="str">
        <f t="shared" si="29"/>
        <v>visual_style15</v>
      </c>
      <c r="Z70">
        <f t="shared" si="24"/>
        <v>15</v>
      </c>
      <c r="AA70" t="str">
        <f t="shared" si="25"/>
        <v/>
      </c>
    </row>
    <row r="71" spans="3:27" ht="21.75" customHeight="1" x14ac:dyDescent="0.2">
      <c r="C71" s="1" t="str">
        <f t="shared" si="18"/>
        <v>CV</v>
      </c>
      <c r="D71" s="1" t="str">
        <f t="shared" si="19"/>
        <v>FrequencyDomain</v>
      </c>
      <c r="I71" s="4"/>
      <c r="J71" s="5"/>
      <c r="O71" s="10" t="str">
        <f t="shared" si="26"/>
        <v>[</v>
      </c>
      <c r="S71" t="str">
        <f t="shared" si="28"/>
        <v>[]</v>
      </c>
      <c r="T71" s="9" t="str">
        <f t="shared" si="27"/>
        <v>[</v>
      </c>
      <c r="U71" t="str">
        <f t="shared" si="20"/>
        <v/>
      </c>
      <c r="V71" t="str">
        <f t="shared" si="21"/>
        <v/>
      </c>
      <c r="W71" t="str">
        <f t="shared" si="22"/>
        <v>[]</v>
      </c>
      <c r="X71" t="str">
        <f t="shared" si="23"/>
        <v/>
      </c>
      <c r="Y71" t="str">
        <f t="shared" si="29"/>
        <v>visual_style15</v>
      </c>
      <c r="Z71">
        <f t="shared" si="24"/>
        <v>15</v>
      </c>
      <c r="AA71" t="str">
        <f t="shared" si="25"/>
        <v/>
      </c>
    </row>
    <row r="72" spans="3:27" ht="21.75" customHeight="1" x14ac:dyDescent="0.2">
      <c r="C72" s="1" t="str">
        <f t="shared" si="18"/>
        <v>CV</v>
      </c>
      <c r="D72" s="1" t="str">
        <f t="shared" si="19"/>
        <v>FrequencyDomain</v>
      </c>
      <c r="I72" s="4"/>
      <c r="J72" s="5"/>
      <c r="O72" s="10" t="str">
        <f t="shared" si="26"/>
        <v>[</v>
      </c>
      <c r="S72" t="str">
        <f t="shared" si="28"/>
        <v>[]</v>
      </c>
      <c r="T72" s="9" t="str">
        <f t="shared" si="27"/>
        <v>[</v>
      </c>
      <c r="U72" t="str">
        <f t="shared" si="20"/>
        <v/>
      </c>
      <c r="V72" t="str">
        <f t="shared" si="21"/>
        <v/>
      </c>
      <c r="W72" t="str">
        <f t="shared" si="22"/>
        <v>[]</v>
      </c>
      <c r="X72" t="str">
        <f t="shared" si="23"/>
        <v/>
      </c>
      <c r="Y72" t="str">
        <f t="shared" si="29"/>
        <v>visual_style15</v>
      </c>
      <c r="Z72">
        <f t="shared" si="24"/>
        <v>15</v>
      </c>
      <c r="AA72" t="str">
        <f t="shared" si="25"/>
        <v/>
      </c>
    </row>
    <row r="73" spans="3:27" ht="21.75" customHeight="1" x14ac:dyDescent="0.2">
      <c r="C73" s="1" t="str">
        <f t="shared" si="18"/>
        <v>CV</v>
      </c>
      <c r="D73" s="1" t="str">
        <f t="shared" si="19"/>
        <v>FrequencyDomain</v>
      </c>
      <c r="I73" s="4"/>
      <c r="J73" s="5"/>
      <c r="O73" s="10" t="str">
        <f t="shared" si="26"/>
        <v>[</v>
      </c>
      <c r="S73" t="str">
        <f t="shared" si="28"/>
        <v>[]</v>
      </c>
      <c r="T73" s="9" t="str">
        <f t="shared" si="27"/>
        <v>[</v>
      </c>
      <c r="U73" t="str">
        <f t="shared" si="20"/>
        <v/>
      </c>
      <c r="V73" t="str">
        <f t="shared" si="21"/>
        <v/>
      </c>
      <c r="W73" t="str">
        <f t="shared" si="22"/>
        <v>[]</v>
      </c>
      <c r="X73" t="str">
        <f t="shared" si="23"/>
        <v/>
      </c>
      <c r="Y73" t="str">
        <f t="shared" si="29"/>
        <v>visual_style15</v>
      </c>
      <c r="Z73">
        <f t="shared" si="24"/>
        <v>15</v>
      </c>
      <c r="AA73" t="str">
        <f t="shared" si="25"/>
        <v/>
      </c>
    </row>
    <row r="74" spans="3:27" ht="21.75" customHeight="1" x14ac:dyDescent="0.2">
      <c r="C74" s="1" t="str">
        <f t="shared" si="18"/>
        <v>CV</v>
      </c>
      <c r="D74" s="1" t="str">
        <f t="shared" si="19"/>
        <v>FrequencyDomain</v>
      </c>
      <c r="I74" s="4"/>
      <c r="J74" s="5"/>
      <c r="O74" s="10" t="str">
        <f t="shared" si="26"/>
        <v>[</v>
      </c>
      <c r="S74" t="str">
        <f t="shared" si="28"/>
        <v>[]</v>
      </c>
      <c r="T74" s="9" t="str">
        <f t="shared" si="27"/>
        <v>[</v>
      </c>
      <c r="U74" t="str">
        <f t="shared" si="20"/>
        <v/>
      </c>
      <c r="V74" t="str">
        <f t="shared" si="21"/>
        <v/>
      </c>
      <c r="W74" t="str">
        <f t="shared" si="22"/>
        <v>[]</v>
      </c>
      <c r="X74" t="str">
        <f t="shared" si="23"/>
        <v/>
      </c>
      <c r="Y74" t="str">
        <f t="shared" si="29"/>
        <v>visual_style15</v>
      </c>
      <c r="Z74">
        <f t="shared" si="24"/>
        <v>15</v>
      </c>
      <c r="AA74" t="str">
        <f t="shared" si="25"/>
        <v/>
      </c>
    </row>
    <row r="75" spans="3:27" ht="21.75" customHeight="1" x14ac:dyDescent="0.2">
      <c r="C75" s="1" t="str">
        <f t="shared" si="18"/>
        <v>CV</v>
      </c>
      <c r="D75" s="1" t="str">
        <f t="shared" si="19"/>
        <v>FrequencyDomain</v>
      </c>
      <c r="I75" s="4"/>
      <c r="J75" s="5"/>
      <c r="O75" s="10" t="str">
        <f t="shared" si="26"/>
        <v>[</v>
      </c>
      <c r="S75" t="str">
        <f t="shared" si="28"/>
        <v>[]</v>
      </c>
      <c r="T75" s="9" t="str">
        <f t="shared" si="27"/>
        <v>[</v>
      </c>
      <c r="U75" t="str">
        <f t="shared" si="20"/>
        <v/>
      </c>
      <c r="V75" t="str">
        <f t="shared" si="21"/>
        <v/>
      </c>
      <c r="W75" t="str">
        <f t="shared" si="22"/>
        <v>[]</v>
      </c>
      <c r="X75" t="str">
        <f t="shared" si="23"/>
        <v/>
      </c>
      <c r="Y75" t="str">
        <f t="shared" si="29"/>
        <v>visual_style15</v>
      </c>
      <c r="Z75">
        <f t="shared" si="24"/>
        <v>15</v>
      </c>
      <c r="AA75" t="str">
        <f t="shared" si="25"/>
        <v/>
      </c>
    </row>
    <row r="76" spans="3:27" ht="21.75" customHeight="1" x14ac:dyDescent="0.2">
      <c r="C76" s="1" t="str">
        <f t="shared" si="18"/>
        <v>CV</v>
      </c>
      <c r="D76" s="1" t="str">
        <f t="shared" si="19"/>
        <v>FrequencyDomain</v>
      </c>
      <c r="I76" s="4"/>
      <c r="J76" s="5"/>
      <c r="O76" s="10" t="str">
        <f t="shared" si="26"/>
        <v>[</v>
      </c>
      <c r="S76" t="str">
        <f t="shared" si="28"/>
        <v>[]</v>
      </c>
      <c r="T76" s="9" t="str">
        <f t="shared" si="27"/>
        <v>[</v>
      </c>
      <c r="U76" t="str">
        <f t="shared" si="20"/>
        <v/>
      </c>
      <c r="V76" t="str">
        <f t="shared" si="21"/>
        <v/>
      </c>
      <c r="W76" t="str">
        <f t="shared" si="22"/>
        <v>[]</v>
      </c>
      <c r="X76" t="str">
        <f t="shared" si="23"/>
        <v/>
      </c>
      <c r="Y76" t="str">
        <f t="shared" si="29"/>
        <v>visual_style15</v>
      </c>
      <c r="Z76">
        <f t="shared" si="24"/>
        <v>15</v>
      </c>
      <c r="AA76" t="str">
        <f t="shared" si="25"/>
        <v/>
      </c>
    </row>
    <row r="77" spans="3:27" ht="21.75" customHeight="1" x14ac:dyDescent="0.2">
      <c r="C77" s="1" t="str">
        <f t="shared" si="18"/>
        <v>CV</v>
      </c>
      <c r="D77" s="1" t="str">
        <f t="shared" si="19"/>
        <v>FrequencyDomain</v>
      </c>
      <c r="I77" s="4"/>
      <c r="J77" s="5"/>
      <c r="O77" s="10" t="str">
        <f t="shared" si="26"/>
        <v>[</v>
      </c>
      <c r="S77" t="str">
        <f t="shared" si="28"/>
        <v>[]</v>
      </c>
      <c r="T77" s="9" t="str">
        <f t="shared" si="27"/>
        <v>[</v>
      </c>
      <c r="U77" t="str">
        <f t="shared" si="20"/>
        <v/>
      </c>
      <c r="V77" t="str">
        <f t="shared" si="21"/>
        <v/>
      </c>
      <c r="W77" t="str">
        <f t="shared" si="22"/>
        <v>[]</v>
      </c>
      <c r="X77" t="str">
        <f t="shared" si="23"/>
        <v/>
      </c>
      <c r="Y77" t="str">
        <f t="shared" si="29"/>
        <v>visual_style15</v>
      </c>
      <c r="Z77">
        <f t="shared" si="24"/>
        <v>15</v>
      </c>
      <c r="AA77" t="str">
        <f t="shared" si="25"/>
        <v/>
      </c>
    </row>
    <row r="78" spans="3:27" ht="21.75" customHeight="1" x14ac:dyDescent="0.2">
      <c r="C78" s="1" t="str">
        <f t="shared" si="18"/>
        <v>CV</v>
      </c>
      <c r="D78" s="1" t="str">
        <f t="shared" si="19"/>
        <v>FrequencyDomain</v>
      </c>
      <c r="I78" s="4"/>
      <c r="J78" s="5"/>
      <c r="O78" s="10" t="str">
        <f t="shared" si="26"/>
        <v>[</v>
      </c>
      <c r="S78" t="str">
        <f t="shared" si="28"/>
        <v>[]</v>
      </c>
      <c r="T78" s="9" t="str">
        <f t="shared" si="27"/>
        <v>[</v>
      </c>
      <c r="U78" t="str">
        <f t="shared" si="20"/>
        <v/>
      </c>
      <c r="V78" t="str">
        <f t="shared" si="21"/>
        <v/>
      </c>
      <c r="W78" t="str">
        <f t="shared" si="22"/>
        <v>[]</v>
      </c>
      <c r="X78" t="str">
        <f t="shared" si="23"/>
        <v/>
      </c>
      <c r="Y78" t="str">
        <f t="shared" si="29"/>
        <v>visual_style15</v>
      </c>
      <c r="Z78">
        <f t="shared" si="24"/>
        <v>15</v>
      </c>
      <c r="AA78" t="str">
        <f t="shared" si="25"/>
        <v/>
      </c>
    </row>
    <row r="79" spans="3:27" ht="21.75" customHeight="1" x14ac:dyDescent="0.2">
      <c r="C79" s="1" t="str">
        <f t="shared" si="18"/>
        <v>CV</v>
      </c>
      <c r="D79" s="1" t="str">
        <f t="shared" si="19"/>
        <v>FrequencyDomain</v>
      </c>
      <c r="I79" s="4"/>
      <c r="J79" s="5"/>
      <c r="O79" s="10" t="str">
        <f t="shared" si="26"/>
        <v>[</v>
      </c>
      <c r="S79" t="str">
        <f t="shared" si="28"/>
        <v>[]</v>
      </c>
      <c r="T79" s="9" t="str">
        <f t="shared" si="27"/>
        <v>[</v>
      </c>
      <c r="U79" t="str">
        <f t="shared" si="20"/>
        <v/>
      </c>
      <c r="V79" t="str">
        <f t="shared" si="21"/>
        <v/>
      </c>
      <c r="W79" t="str">
        <f t="shared" si="22"/>
        <v>[]</v>
      </c>
      <c r="X79" t="str">
        <f t="shared" si="23"/>
        <v/>
      </c>
      <c r="Y79" t="str">
        <f t="shared" si="29"/>
        <v>visual_style15</v>
      </c>
      <c r="Z79">
        <f t="shared" si="24"/>
        <v>15</v>
      </c>
      <c r="AA79" t="str">
        <f t="shared" si="25"/>
        <v/>
      </c>
    </row>
    <row r="80" spans="3:27" ht="21.75" customHeight="1" x14ac:dyDescent="0.2">
      <c r="C80" s="1" t="str">
        <f t="shared" si="18"/>
        <v>CV</v>
      </c>
      <c r="D80" s="1" t="str">
        <f t="shared" si="19"/>
        <v>FrequencyDomain</v>
      </c>
      <c r="I80" s="4"/>
      <c r="J80" s="5"/>
      <c r="O80" s="10" t="str">
        <f t="shared" si="26"/>
        <v>[</v>
      </c>
      <c r="S80" t="str">
        <f t="shared" si="28"/>
        <v>[]</v>
      </c>
      <c r="T80" s="9" t="str">
        <f t="shared" si="27"/>
        <v>[</v>
      </c>
      <c r="U80" t="str">
        <f t="shared" si="20"/>
        <v/>
      </c>
      <c r="V80" t="str">
        <f t="shared" si="21"/>
        <v/>
      </c>
      <c r="W80" t="str">
        <f t="shared" si="22"/>
        <v>[]</v>
      </c>
      <c r="X80" t="str">
        <f t="shared" si="23"/>
        <v/>
      </c>
      <c r="Y80" t="str">
        <f t="shared" si="29"/>
        <v>visual_style15</v>
      </c>
      <c r="Z80">
        <f t="shared" si="24"/>
        <v>15</v>
      </c>
      <c r="AA80" t="str">
        <f t="shared" si="25"/>
        <v/>
      </c>
    </row>
    <row r="81" spans="3:27" ht="21.75" customHeight="1" x14ac:dyDescent="0.2">
      <c r="C81" s="1" t="str">
        <f t="shared" ref="C81:C100" si="30">IF(ISBLANK(A81),C80,A81)</f>
        <v>CV</v>
      </c>
      <c r="D81" s="1" t="str">
        <f t="shared" ref="D81:D100" si="31">IF(NOT(ISBLANK(B81)), B81, IF(ISBLANK(A81), D80,A81))</f>
        <v>FrequencyDomain</v>
      </c>
      <c r="I81" s="4"/>
      <c r="J81" s="5"/>
      <c r="O81" s="10" t="str">
        <f t="shared" si="26"/>
        <v>[</v>
      </c>
      <c r="S81" t="str">
        <f t="shared" si="28"/>
        <v>[]</v>
      </c>
      <c r="T81" s="9" t="str">
        <f t="shared" si="27"/>
        <v>[</v>
      </c>
      <c r="U81" t="str">
        <f t="shared" si="20"/>
        <v/>
      </c>
      <c r="V81" t="str">
        <f t="shared" si="21"/>
        <v/>
      </c>
      <c r="W81" t="str">
        <f t="shared" si="22"/>
        <v>[]</v>
      </c>
      <c r="X81" t="str">
        <f t="shared" si="23"/>
        <v/>
      </c>
      <c r="Y81" t="str">
        <f t="shared" si="29"/>
        <v>visual_style15</v>
      </c>
      <c r="Z81">
        <f t="shared" si="24"/>
        <v>15</v>
      </c>
      <c r="AA81" t="str">
        <f t="shared" si="25"/>
        <v/>
      </c>
    </row>
    <row r="82" spans="3:27" ht="21.75" customHeight="1" x14ac:dyDescent="0.2">
      <c r="C82" s="1" t="str">
        <f t="shared" si="30"/>
        <v>CV</v>
      </c>
      <c r="D82" s="1" t="str">
        <f t="shared" si="31"/>
        <v>FrequencyDomain</v>
      </c>
      <c r="I82" s="4"/>
      <c r="J82" s="5"/>
      <c r="O82" s="10" t="str">
        <f t="shared" si="26"/>
        <v>[</v>
      </c>
      <c r="S82" t="str">
        <f t="shared" si="28"/>
        <v>[]</v>
      </c>
      <c r="T82" s="9" t="str">
        <f t="shared" si="27"/>
        <v>[</v>
      </c>
      <c r="U82" t="str">
        <f t="shared" si="20"/>
        <v/>
      </c>
      <c r="V82" t="str">
        <f t="shared" si="21"/>
        <v/>
      </c>
      <c r="W82" t="str">
        <f t="shared" si="22"/>
        <v>[]</v>
      </c>
      <c r="X82" t="str">
        <f t="shared" si="23"/>
        <v/>
      </c>
      <c r="Y82" t="str">
        <f t="shared" si="29"/>
        <v>visual_style15</v>
      </c>
      <c r="Z82">
        <f t="shared" si="24"/>
        <v>15</v>
      </c>
      <c r="AA82" t="str">
        <f t="shared" si="25"/>
        <v/>
      </c>
    </row>
    <row r="83" spans="3:27" ht="21.75" customHeight="1" x14ac:dyDescent="0.2">
      <c r="C83" s="1" t="str">
        <f t="shared" si="30"/>
        <v>CV</v>
      </c>
      <c r="D83" s="1" t="str">
        <f t="shared" si="31"/>
        <v>FrequencyDomain</v>
      </c>
      <c r="I83" s="4"/>
      <c r="J83" s="5"/>
      <c r="O83" s="10" t="str">
        <f t="shared" si="26"/>
        <v>[</v>
      </c>
      <c r="S83" t="str">
        <f t="shared" si="28"/>
        <v>[]</v>
      </c>
      <c r="T83" s="9" t="str">
        <f t="shared" si="27"/>
        <v>[</v>
      </c>
      <c r="U83" t="str">
        <f t="shared" si="20"/>
        <v/>
      </c>
      <c r="V83" t="str">
        <f t="shared" si="21"/>
        <v/>
      </c>
      <c r="W83" t="str">
        <f t="shared" si="22"/>
        <v>[]</v>
      </c>
      <c r="X83" t="str">
        <f t="shared" si="23"/>
        <v/>
      </c>
      <c r="Y83" t="str">
        <f t="shared" si="29"/>
        <v>visual_style15</v>
      </c>
      <c r="Z83">
        <f t="shared" si="24"/>
        <v>15</v>
      </c>
      <c r="AA83" t="str">
        <f t="shared" si="25"/>
        <v/>
      </c>
    </row>
    <row r="84" spans="3:27" ht="21.75" customHeight="1" x14ac:dyDescent="0.2">
      <c r="C84" s="1" t="str">
        <f t="shared" si="30"/>
        <v>CV</v>
      </c>
      <c r="D84" s="1" t="str">
        <f t="shared" si="31"/>
        <v>FrequencyDomain</v>
      </c>
      <c r="I84" s="4"/>
      <c r="J84" s="5"/>
      <c r="O84" s="10" t="str">
        <f t="shared" si="26"/>
        <v>[</v>
      </c>
      <c r="S84" t="str">
        <f t="shared" si="28"/>
        <v>[]</v>
      </c>
      <c r="T84" s="9" t="str">
        <f t="shared" si="27"/>
        <v>[</v>
      </c>
      <c r="U84" t="str">
        <f t="shared" si="20"/>
        <v/>
      </c>
      <c r="V84" t="str">
        <f t="shared" si="21"/>
        <v/>
      </c>
      <c r="W84" t="str">
        <f t="shared" si="22"/>
        <v>[]</v>
      </c>
      <c r="X84" t="str">
        <f t="shared" si="23"/>
        <v/>
      </c>
      <c r="Y84" t="str">
        <f t="shared" si="29"/>
        <v>visual_style15</v>
      </c>
      <c r="Z84">
        <f t="shared" si="24"/>
        <v>15</v>
      </c>
      <c r="AA84" t="str">
        <f t="shared" si="25"/>
        <v/>
      </c>
    </row>
    <row r="85" spans="3:27" ht="21.75" customHeight="1" x14ac:dyDescent="0.2">
      <c r="C85" s="1" t="str">
        <f t="shared" si="30"/>
        <v>CV</v>
      </c>
      <c r="D85" s="1" t="str">
        <f t="shared" si="31"/>
        <v>FrequencyDomain</v>
      </c>
      <c r="I85" s="4"/>
      <c r="J85" s="5"/>
      <c r="O85" s="10" t="str">
        <f t="shared" si="26"/>
        <v>[</v>
      </c>
      <c r="S85" t="str">
        <f t="shared" si="28"/>
        <v>[]</v>
      </c>
      <c r="T85" s="9" t="str">
        <f t="shared" si="27"/>
        <v>[</v>
      </c>
      <c r="U85" t="str">
        <f t="shared" si="20"/>
        <v/>
      </c>
      <c r="V85" t="str">
        <f t="shared" si="21"/>
        <v/>
      </c>
      <c r="W85" t="str">
        <f t="shared" si="22"/>
        <v>[]</v>
      </c>
      <c r="X85" t="str">
        <f t="shared" si="23"/>
        <v/>
      </c>
      <c r="Y85" t="str">
        <f t="shared" si="29"/>
        <v>visual_style15</v>
      </c>
      <c r="Z85">
        <f t="shared" si="24"/>
        <v>15</v>
      </c>
      <c r="AA85" t="str">
        <f t="shared" si="25"/>
        <v/>
      </c>
    </row>
    <row r="86" spans="3:27" ht="21.75" customHeight="1" x14ac:dyDescent="0.2">
      <c r="C86" s="1" t="str">
        <f t="shared" si="30"/>
        <v>CV</v>
      </c>
      <c r="D86" s="1" t="str">
        <f t="shared" si="31"/>
        <v>FrequencyDomain</v>
      </c>
      <c r="I86" s="4"/>
      <c r="J86" s="5"/>
      <c r="O86" s="10" t="str">
        <f t="shared" si="26"/>
        <v>[</v>
      </c>
      <c r="S86" t="str">
        <f t="shared" si="28"/>
        <v>[]</v>
      </c>
      <c r="T86" s="9" t="str">
        <f t="shared" si="27"/>
        <v>[</v>
      </c>
      <c r="U86" t="str">
        <f t="shared" si="20"/>
        <v/>
      </c>
      <c r="V86" t="str">
        <f t="shared" si="21"/>
        <v/>
      </c>
      <c r="W86" t="str">
        <f t="shared" si="22"/>
        <v>[]</v>
      </c>
      <c r="X86" t="str">
        <f t="shared" si="23"/>
        <v/>
      </c>
      <c r="Y86" t="str">
        <f t="shared" si="29"/>
        <v>visual_style15</v>
      </c>
      <c r="Z86">
        <f t="shared" si="24"/>
        <v>15</v>
      </c>
      <c r="AA86" t="str">
        <f t="shared" si="25"/>
        <v/>
      </c>
    </row>
    <row r="87" spans="3:27" ht="21.75" customHeight="1" x14ac:dyDescent="0.2">
      <c r="C87" s="1" t="str">
        <f t="shared" si="30"/>
        <v>CV</v>
      </c>
      <c r="D87" s="1" t="str">
        <f t="shared" si="31"/>
        <v>FrequencyDomain</v>
      </c>
      <c r="I87" s="4"/>
      <c r="J87" s="5"/>
      <c r="O87" s="10" t="str">
        <f t="shared" si="26"/>
        <v>[</v>
      </c>
      <c r="S87" t="str">
        <f t="shared" si="28"/>
        <v>[]</v>
      </c>
      <c r="T87" s="9" t="str">
        <f t="shared" si="27"/>
        <v>[</v>
      </c>
      <c r="U87" t="str">
        <f t="shared" si="20"/>
        <v/>
      </c>
      <c r="V87" t="str">
        <f t="shared" si="21"/>
        <v/>
      </c>
      <c r="W87" t="str">
        <f t="shared" si="22"/>
        <v>[]</v>
      </c>
      <c r="X87" t="str">
        <f t="shared" si="23"/>
        <v/>
      </c>
      <c r="Y87" t="str">
        <f t="shared" si="29"/>
        <v>visual_style15</v>
      </c>
      <c r="Z87">
        <f t="shared" si="24"/>
        <v>15</v>
      </c>
      <c r="AA87" t="str">
        <f t="shared" si="25"/>
        <v/>
      </c>
    </row>
    <row r="88" spans="3:27" ht="21.75" customHeight="1" x14ac:dyDescent="0.2">
      <c r="C88" s="1" t="str">
        <f t="shared" si="30"/>
        <v>CV</v>
      </c>
      <c r="D88" s="1" t="str">
        <f t="shared" si="31"/>
        <v>FrequencyDomain</v>
      </c>
      <c r="I88" s="4"/>
      <c r="J88" s="5"/>
      <c r="O88" s="10" t="str">
        <f t="shared" si="26"/>
        <v>[</v>
      </c>
      <c r="S88" t="str">
        <f t="shared" si="28"/>
        <v>[]</v>
      </c>
      <c r="T88" s="9" t="str">
        <f t="shared" si="27"/>
        <v>[</v>
      </c>
      <c r="U88" t="str">
        <f t="shared" si="20"/>
        <v/>
      </c>
      <c r="V88" t="str">
        <f t="shared" si="21"/>
        <v/>
      </c>
      <c r="W88" t="str">
        <f t="shared" si="22"/>
        <v>[]</v>
      </c>
      <c r="X88" t="str">
        <f t="shared" si="23"/>
        <v/>
      </c>
      <c r="Y88" t="str">
        <f t="shared" si="29"/>
        <v>visual_style15</v>
      </c>
      <c r="Z88">
        <f t="shared" si="24"/>
        <v>15</v>
      </c>
      <c r="AA88" t="str">
        <f t="shared" si="25"/>
        <v/>
      </c>
    </row>
    <row r="89" spans="3:27" ht="21.75" customHeight="1" x14ac:dyDescent="0.2">
      <c r="C89" s="1" t="str">
        <f t="shared" si="30"/>
        <v>CV</v>
      </c>
      <c r="D89" s="1" t="str">
        <f t="shared" si="31"/>
        <v>FrequencyDomain</v>
      </c>
      <c r="I89" s="4"/>
      <c r="J89" s="5"/>
      <c r="O89" s="10" t="str">
        <f t="shared" si="26"/>
        <v>[</v>
      </c>
      <c r="S89" t="str">
        <f t="shared" si="28"/>
        <v>[]</v>
      </c>
      <c r="T89" s="9" t="str">
        <f t="shared" si="27"/>
        <v>[</v>
      </c>
      <c r="U89" t="str">
        <f t="shared" si="20"/>
        <v/>
      </c>
      <c r="V89" t="str">
        <f t="shared" si="21"/>
        <v/>
      </c>
      <c r="W89" t="str">
        <f t="shared" si="22"/>
        <v>[]</v>
      </c>
      <c r="X89" t="str">
        <f t="shared" si="23"/>
        <v/>
      </c>
      <c r="Y89" t="str">
        <f t="shared" si="29"/>
        <v>visual_style15</v>
      </c>
      <c r="Z89">
        <f t="shared" si="24"/>
        <v>15</v>
      </c>
      <c r="AA89" t="str">
        <f t="shared" si="25"/>
        <v/>
      </c>
    </row>
    <row r="90" spans="3:27" ht="21.75" customHeight="1" x14ac:dyDescent="0.2">
      <c r="C90" s="1" t="str">
        <f t="shared" si="30"/>
        <v>CV</v>
      </c>
      <c r="D90" s="1" t="str">
        <f t="shared" si="31"/>
        <v>FrequencyDomain</v>
      </c>
      <c r="I90" s="4"/>
      <c r="J90" s="5"/>
      <c r="O90" s="10" t="str">
        <f t="shared" si="26"/>
        <v>[</v>
      </c>
      <c r="S90" t="str">
        <f t="shared" si="28"/>
        <v>[]</v>
      </c>
      <c r="T90" s="9" t="str">
        <f t="shared" si="27"/>
        <v>[</v>
      </c>
      <c r="U90" t="str">
        <f t="shared" si="20"/>
        <v/>
      </c>
      <c r="V90" t="str">
        <f t="shared" si="21"/>
        <v/>
      </c>
      <c r="W90" t="str">
        <f t="shared" si="22"/>
        <v>[]</v>
      </c>
      <c r="X90" t="str">
        <f t="shared" si="23"/>
        <v/>
      </c>
      <c r="Y90" t="str">
        <f t="shared" si="29"/>
        <v>visual_style15</v>
      </c>
      <c r="Z90">
        <f t="shared" si="24"/>
        <v>15</v>
      </c>
      <c r="AA90" t="str">
        <f t="shared" si="25"/>
        <v/>
      </c>
    </row>
    <row r="91" spans="3:27" ht="21.75" customHeight="1" x14ac:dyDescent="0.2">
      <c r="C91" s="1" t="str">
        <f t="shared" si="30"/>
        <v>CV</v>
      </c>
      <c r="D91" s="1" t="str">
        <f t="shared" si="31"/>
        <v>FrequencyDomain</v>
      </c>
      <c r="I91" s="4"/>
      <c r="J91" s="5"/>
      <c r="O91" s="10" t="str">
        <f t="shared" si="26"/>
        <v>[</v>
      </c>
      <c r="S91" t="str">
        <f t="shared" si="28"/>
        <v>[]</v>
      </c>
      <c r="T91" s="9" t="str">
        <f t="shared" si="27"/>
        <v>[</v>
      </c>
      <c r="U91" t="str">
        <f t="shared" si="20"/>
        <v/>
      </c>
      <c r="V91" t="str">
        <f t="shared" si="21"/>
        <v/>
      </c>
      <c r="W91" t="str">
        <f t="shared" si="22"/>
        <v>[]</v>
      </c>
      <c r="X91" t="str">
        <f t="shared" si="23"/>
        <v/>
      </c>
      <c r="Y91" t="str">
        <f t="shared" si="29"/>
        <v>visual_style15</v>
      </c>
      <c r="Z91">
        <f t="shared" si="24"/>
        <v>15</v>
      </c>
      <c r="AA91" t="str">
        <f t="shared" si="25"/>
        <v/>
      </c>
    </row>
    <row r="92" spans="3:27" ht="21.75" customHeight="1" x14ac:dyDescent="0.2">
      <c r="C92" s="1" t="str">
        <f t="shared" si="30"/>
        <v>CV</v>
      </c>
      <c r="D92" s="1" t="str">
        <f t="shared" si="31"/>
        <v>FrequencyDomain</v>
      </c>
      <c r="I92" s="4"/>
      <c r="J92" s="5"/>
      <c r="O92" s="10" t="str">
        <f t="shared" si="26"/>
        <v>[</v>
      </c>
      <c r="S92" t="str">
        <f t="shared" si="28"/>
        <v>[]</v>
      </c>
      <c r="T92" s="9" t="str">
        <f t="shared" si="27"/>
        <v>[</v>
      </c>
      <c r="U92" t="str">
        <f t="shared" si="20"/>
        <v/>
      </c>
      <c r="V92" t="str">
        <f t="shared" si="21"/>
        <v/>
      </c>
      <c r="W92" t="str">
        <f t="shared" si="22"/>
        <v>[]</v>
      </c>
      <c r="X92" t="str">
        <f t="shared" si="23"/>
        <v/>
      </c>
      <c r="Y92" t="str">
        <f t="shared" si="29"/>
        <v>visual_style15</v>
      </c>
      <c r="Z92">
        <f t="shared" si="24"/>
        <v>15</v>
      </c>
      <c r="AA92" t="str">
        <f t="shared" si="25"/>
        <v/>
      </c>
    </row>
    <row r="93" spans="3:27" ht="21.75" customHeight="1" x14ac:dyDescent="0.2">
      <c r="C93" s="1" t="str">
        <f t="shared" si="30"/>
        <v>CV</v>
      </c>
      <c r="D93" s="1" t="str">
        <f t="shared" si="31"/>
        <v>FrequencyDomain</v>
      </c>
      <c r="I93" s="4"/>
      <c r="J93" s="5"/>
      <c r="O93" s="10" t="str">
        <f t="shared" si="26"/>
        <v>[</v>
      </c>
      <c r="S93" t="str">
        <f t="shared" si="28"/>
        <v>[]</v>
      </c>
      <c r="T93" s="9" t="str">
        <f t="shared" si="27"/>
        <v>[</v>
      </c>
      <c r="U93" t="str">
        <f t="shared" si="20"/>
        <v/>
      </c>
      <c r="V93" t="str">
        <f t="shared" si="21"/>
        <v/>
      </c>
      <c r="W93" t="str">
        <f t="shared" si="22"/>
        <v>[]</v>
      </c>
      <c r="X93" t="str">
        <f t="shared" si="23"/>
        <v/>
      </c>
      <c r="Y93" t="str">
        <f t="shared" si="29"/>
        <v>visual_style15</v>
      </c>
      <c r="Z93">
        <f t="shared" si="24"/>
        <v>15</v>
      </c>
      <c r="AA93" t="str">
        <f t="shared" si="25"/>
        <v/>
      </c>
    </row>
    <row r="94" spans="3:27" ht="21.75" customHeight="1" x14ac:dyDescent="0.2">
      <c r="C94" s="1" t="str">
        <f t="shared" si="30"/>
        <v>CV</v>
      </c>
      <c r="D94" s="1" t="str">
        <f t="shared" si="31"/>
        <v>FrequencyDomain</v>
      </c>
      <c r="I94" s="4"/>
      <c r="J94" s="5"/>
      <c r="O94" s="10" t="str">
        <f t="shared" si="26"/>
        <v>[</v>
      </c>
      <c r="S94" t="str">
        <f t="shared" si="28"/>
        <v>[]</v>
      </c>
      <c r="T94" s="9" t="str">
        <f t="shared" si="27"/>
        <v>[</v>
      </c>
      <c r="U94" t="str">
        <f t="shared" si="20"/>
        <v/>
      </c>
      <c r="V94" t="str">
        <f t="shared" si="21"/>
        <v/>
      </c>
      <c r="W94" t="str">
        <f t="shared" si="22"/>
        <v>[]</v>
      </c>
      <c r="X94" t="str">
        <f t="shared" si="23"/>
        <v/>
      </c>
      <c r="Y94" t="str">
        <f t="shared" si="29"/>
        <v>visual_style15</v>
      </c>
      <c r="Z94">
        <f t="shared" si="24"/>
        <v>15</v>
      </c>
      <c r="AA94" t="str">
        <f t="shared" si="25"/>
        <v/>
      </c>
    </row>
    <row r="95" spans="3:27" ht="21.75" customHeight="1" x14ac:dyDescent="0.2">
      <c r="C95" s="1" t="str">
        <f t="shared" si="30"/>
        <v>CV</v>
      </c>
      <c r="D95" s="1" t="str">
        <f t="shared" si="31"/>
        <v>FrequencyDomain</v>
      </c>
      <c r="I95" s="4"/>
      <c r="J95" s="5"/>
      <c r="O95" s="10" t="str">
        <f t="shared" si="26"/>
        <v>[</v>
      </c>
      <c r="S95" t="str">
        <f t="shared" si="28"/>
        <v>[]</v>
      </c>
      <c r="T95" s="9" t="str">
        <f t="shared" si="27"/>
        <v>[</v>
      </c>
      <c r="U95" t="str">
        <f t="shared" si="20"/>
        <v/>
      </c>
      <c r="V95" t="str">
        <f t="shared" si="21"/>
        <v/>
      </c>
      <c r="W95" t="str">
        <f t="shared" si="22"/>
        <v>[]</v>
      </c>
      <c r="X95" t="str">
        <f t="shared" si="23"/>
        <v/>
      </c>
      <c r="Y95" t="str">
        <f t="shared" si="29"/>
        <v>visual_style15</v>
      </c>
      <c r="Z95">
        <f t="shared" si="24"/>
        <v>15</v>
      </c>
      <c r="AA95" t="str">
        <f t="shared" si="25"/>
        <v/>
      </c>
    </row>
    <row r="96" spans="3:27" ht="21.75" customHeight="1" x14ac:dyDescent="0.2">
      <c r="C96" s="1" t="str">
        <f t="shared" si="30"/>
        <v>CV</v>
      </c>
      <c r="D96" s="1" t="str">
        <f t="shared" si="31"/>
        <v>FrequencyDomain</v>
      </c>
      <c r="I96" s="4"/>
      <c r="J96" s="5"/>
      <c r="O96" s="10" t="str">
        <f t="shared" si="26"/>
        <v>[</v>
      </c>
      <c r="S96" t="str">
        <f t="shared" si="28"/>
        <v>[]</v>
      </c>
      <c r="T96" s="9" t="str">
        <f t="shared" si="27"/>
        <v>[</v>
      </c>
      <c r="U96" t="str">
        <f t="shared" si="20"/>
        <v/>
      </c>
      <c r="V96" t="str">
        <f t="shared" si="21"/>
        <v/>
      </c>
      <c r="W96" t="str">
        <f t="shared" si="22"/>
        <v>[]</v>
      </c>
      <c r="X96" t="str">
        <f t="shared" si="23"/>
        <v/>
      </c>
      <c r="Y96" t="str">
        <f t="shared" si="29"/>
        <v>visual_style15</v>
      </c>
      <c r="Z96">
        <f t="shared" si="24"/>
        <v>15</v>
      </c>
      <c r="AA96" t="str">
        <f t="shared" si="25"/>
        <v/>
      </c>
    </row>
    <row r="97" spans="3:27" ht="21.75" customHeight="1" x14ac:dyDescent="0.2">
      <c r="C97" s="1" t="str">
        <f t="shared" si="30"/>
        <v>CV</v>
      </c>
      <c r="D97" s="1" t="str">
        <f t="shared" si="31"/>
        <v>FrequencyDomain</v>
      </c>
      <c r="I97" s="4"/>
      <c r="J97" s="5"/>
      <c r="O97" s="10" t="str">
        <f t="shared" si="26"/>
        <v>[</v>
      </c>
      <c r="S97" t="str">
        <f t="shared" si="28"/>
        <v>[]</v>
      </c>
      <c r="T97" s="9" t="str">
        <f t="shared" si="27"/>
        <v>[</v>
      </c>
      <c r="U97" t="str">
        <f t="shared" si="20"/>
        <v/>
      </c>
      <c r="V97" t="str">
        <f t="shared" si="21"/>
        <v/>
      </c>
      <c r="W97" t="str">
        <f t="shared" si="22"/>
        <v>[]</v>
      </c>
      <c r="X97" t="str">
        <f t="shared" si="23"/>
        <v/>
      </c>
      <c r="Y97" t="str">
        <f t="shared" si="29"/>
        <v>visual_style15</v>
      </c>
      <c r="Z97">
        <f t="shared" si="24"/>
        <v>15</v>
      </c>
      <c r="AA97" t="str">
        <f t="shared" si="25"/>
        <v/>
      </c>
    </row>
    <row r="98" spans="3:27" ht="21.75" customHeight="1" x14ac:dyDescent="0.2">
      <c r="C98" s="1" t="str">
        <f t="shared" si="30"/>
        <v>CV</v>
      </c>
      <c r="D98" s="1" t="str">
        <f t="shared" si="31"/>
        <v>FrequencyDomain</v>
      </c>
      <c r="I98" s="4"/>
      <c r="J98" s="5"/>
      <c r="O98" s="10" t="str">
        <f t="shared" si="26"/>
        <v>[</v>
      </c>
      <c r="S98" t="str">
        <f t="shared" si="28"/>
        <v>[]</v>
      </c>
      <c r="T98" s="9" t="str">
        <f t="shared" si="27"/>
        <v>[</v>
      </c>
      <c r="U98" t="str">
        <f t="shared" si="20"/>
        <v/>
      </c>
      <c r="V98" t="str">
        <f t="shared" si="21"/>
        <v/>
      </c>
      <c r="W98" t="str">
        <f t="shared" si="22"/>
        <v>[]</v>
      </c>
      <c r="X98" t="str">
        <f t="shared" si="23"/>
        <v/>
      </c>
      <c r="Y98" t="str">
        <f t="shared" si="29"/>
        <v>visual_style15</v>
      </c>
      <c r="Z98">
        <f t="shared" si="24"/>
        <v>15</v>
      </c>
      <c r="AA98" t="str">
        <f t="shared" si="25"/>
        <v/>
      </c>
    </row>
    <row r="99" spans="3:27" ht="21.75" customHeight="1" x14ac:dyDescent="0.2">
      <c r="C99" s="1" t="str">
        <f t="shared" si="30"/>
        <v>CV</v>
      </c>
      <c r="D99" s="1" t="str">
        <f t="shared" si="31"/>
        <v>FrequencyDomain</v>
      </c>
      <c r="I99" s="4"/>
      <c r="J99" s="5"/>
      <c r="O99" s="10" t="str">
        <f t="shared" si="26"/>
        <v>[</v>
      </c>
      <c r="S99" t="str">
        <f t="shared" si="28"/>
        <v>[]</v>
      </c>
      <c r="T99" s="9" t="str">
        <f t="shared" si="27"/>
        <v>[</v>
      </c>
      <c r="U99" t="str">
        <f t="shared" si="20"/>
        <v/>
      </c>
      <c r="V99" t="str">
        <f t="shared" si="21"/>
        <v/>
      </c>
      <c r="W99" t="str">
        <f t="shared" si="22"/>
        <v>[]</v>
      </c>
      <c r="X99" t="str">
        <f t="shared" si="23"/>
        <v/>
      </c>
      <c r="Y99" t="str">
        <f t="shared" si="29"/>
        <v>visual_style15</v>
      </c>
      <c r="Z99">
        <f t="shared" si="24"/>
        <v>15</v>
      </c>
      <c r="AA99" t="str">
        <f t="shared" si="25"/>
        <v/>
      </c>
    </row>
    <row r="100" spans="3:27" ht="21.75" customHeight="1" x14ac:dyDescent="0.2">
      <c r="C100" s="1" t="str">
        <f t="shared" si="30"/>
        <v>CV</v>
      </c>
      <c r="D100" s="1" t="str">
        <f t="shared" si="31"/>
        <v>FrequencyDomain</v>
      </c>
      <c r="I100" s="4"/>
      <c r="J100" s="5"/>
      <c r="O100" s="10" t="str">
        <f t="shared" si="26"/>
        <v>[</v>
      </c>
      <c r="S100" t="str">
        <f t="shared" si="28"/>
        <v>[]</v>
      </c>
      <c r="T100" s="9" t="str">
        <f t="shared" si="27"/>
        <v>[</v>
      </c>
      <c r="U100" t="str">
        <f t="shared" si="20"/>
        <v/>
      </c>
      <c r="V100" t="str">
        <f t="shared" si="21"/>
        <v/>
      </c>
      <c r="W100" t="str">
        <f t="shared" si="22"/>
        <v>[]</v>
      </c>
      <c r="X100" t="str">
        <f t="shared" si="23"/>
        <v/>
      </c>
      <c r="Y100" t="str">
        <f t="shared" si="29"/>
        <v>visual_style15</v>
      </c>
      <c r="Z100">
        <f t="shared" si="24"/>
        <v>15</v>
      </c>
      <c r="AA100" t="str">
        <f t="shared" si="25"/>
        <v/>
      </c>
    </row>
    <row r="101" spans="3:27" x14ac:dyDescent="0.2">
      <c r="I101" s="4"/>
      <c r="J101" s="5"/>
    </row>
    <row r="102" spans="3:27" x14ac:dyDescent="0.2">
      <c r="I102" s="4"/>
      <c r="J102" s="5"/>
    </row>
    <row r="103" spans="3:27" x14ac:dyDescent="0.2">
      <c r="I103" s="4"/>
      <c r="J103" s="5"/>
    </row>
    <row r="104" spans="3:27" x14ac:dyDescent="0.2">
      <c r="I104" s="4"/>
      <c r="J104" s="5"/>
    </row>
    <row r="105" spans="3:27" x14ac:dyDescent="0.2">
      <c r="I105" s="4"/>
      <c r="J105" s="5"/>
    </row>
    <row r="106" spans="3:27" x14ac:dyDescent="0.2">
      <c r="I106" s="4"/>
      <c r="J106" s="5"/>
    </row>
    <row r="107" spans="3:27" x14ac:dyDescent="0.2">
      <c r="I107" s="4"/>
      <c r="J107" s="5"/>
    </row>
    <row r="108" spans="3:27" x14ac:dyDescent="0.2">
      <c r="I108" s="4"/>
      <c r="J108" s="5"/>
    </row>
  </sheetData>
  <mergeCells count="2">
    <mergeCell ref="F1:I1"/>
    <mergeCell ref="J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/>
  </sheetViews>
  <sheetFormatPr defaultColWidth="17.140625" defaultRowHeight="12.75" customHeight="1" x14ac:dyDescent="0.2"/>
  <sheetData>
    <row r="1" spans="1:6" ht="12.75" customHeight="1" x14ac:dyDescent="0.2">
      <c r="A1" t="s">
        <v>129</v>
      </c>
    </row>
    <row r="2" spans="1:6" ht="12.75" customHeight="1" x14ac:dyDescent="0.2">
      <c r="B2" t="s">
        <v>34</v>
      </c>
      <c r="F2" t="s">
        <v>130</v>
      </c>
    </row>
    <row r="3" spans="1:6" ht="12.75" customHeight="1" x14ac:dyDescent="0.2">
      <c r="C3" t="s">
        <v>131</v>
      </c>
    </row>
    <row r="4" spans="1:6" ht="12.75" customHeight="1" x14ac:dyDescent="0.2">
      <c r="C4" t="s">
        <v>42</v>
      </c>
    </row>
    <row r="5" spans="1:6" ht="12.75" customHeight="1" x14ac:dyDescent="0.2">
      <c r="D5" t="s">
        <v>38</v>
      </c>
    </row>
    <row r="6" spans="1:6" ht="12.75" customHeight="1" x14ac:dyDescent="0.2">
      <c r="B6" t="s">
        <v>132</v>
      </c>
      <c r="F6" t="s">
        <v>133</v>
      </c>
    </row>
    <row r="7" spans="1:6" ht="12.75" customHeight="1" x14ac:dyDescent="0.2">
      <c r="C7" t="s">
        <v>134</v>
      </c>
      <c r="F7" t="s">
        <v>135</v>
      </c>
    </row>
    <row r="8" spans="1:6" ht="12.75" customHeight="1" x14ac:dyDescent="0.2">
      <c r="C8" t="s">
        <v>136</v>
      </c>
      <c r="F8" t="s">
        <v>135</v>
      </c>
    </row>
    <row r="9" spans="1:6" ht="12.75" customHeight="1" x14ac:dyDescent="0.2">
      <c r="B9" t="s">
        <v>137</v>
      </c>
    </row>
    <row r="10" spans="1:6" ht="12.75" customHeight="1" x14ac:dyDescent="0.2">
      <c r="C10" t="s">
        <v>134</v>
      </c>
      <c r="F10" t="s">
        <v>135</v>
      </c>
    </row>
    <row r="11" spans="1:6" ht="12.75" customHeight="1" x14ac:dyDescent="0.2">
      <c r="C11" t="s">
        <v>136</v>
      </c>
      <c r="F11" t="s">
        <v>135</v>
      </c>
    </row>
    <row r="12" spans="1:6" ht="12.75" customHeight="1" x14ac:dyDescent="0.2">
      <c r="D12" t="s">
        <v>138</v>
      </c>
    </row>
    <row r="13" spans="1:6" ht="12.75" customHeight="1" x14ac:dyDescent="0.2">
      <c r="A13" t="s">
        <v>139</v>
      </c>
    </row>
    <row r="14" spans="1:6" ht="12.75" customHeight="1" x14ac:dyDescent="0.2">
      <c r="B14" t="s">
        <v>140</v>
      </c>
    </row>
    <row r="15" spans="1:6" ht="12.75" customHeight="1" x14ac:dyDescent="0.2">
      <c r="B15" t="s">
        <v>141</v>
      </c>
    </row>
    <row r="16" spans="1:6" ht="12.75" customHeight="1" x14ac:dyDescent="0.2">
      <c r="B16" t="s">
        <v>101</v>
      </c>
    </row>
    <row r="17" spans="1:6" ht="12.75" customHeight="1" x14ac:dyDescent="0.2">
      <c r="B17" t="s">
        <v>142</v>
      </c>
    </row>
    <row r="18" spans="1:6" ht="12.75" customHeight="1" x14ac:dyDescent="0.2">
      <c r="B18" t="s">
        <v>103</v>
      </c>
    </row>
    <row r="19" spans="1:6" ht="12.75" customHeight="1" x14ac:dyDescent="0.2">
      <c r="B19" t="s">
        <v>143</v>
      </c>
    </row>
    <row r="20" spans="1:6" ht="12.75" customHeight="1" x14ac:dyDescent="0.2">
      <c r="C20" t="s">
        <v>144</v>
      </c>
    </row>
    <row r="21" spans="1:6" ht="12.75" customHeight="1" x14ac:dyDescent="0.2">
      <c r="C21" t="s">
        <v>145</v>
      </c>
    </row>
    <row r="22" spans="1:6" ht="12.75" customHeight="1" x14ac:dyDescent="0.2">
      <c r="B22" t="s">
        <v>146</v>
      </c>
    </row>
    <row r="23" spans="1:6" ht="12.75" customHeight="1" x14ac:dyDescent="0.2">
      <c r="B23" t="s">
        <v>75</v>
      </c>
      <c r="F23" t="s">
        <v>147</v>
      </c>
    </row>
    <row r="24" spans="1:6" ht="12.75" customHeight="1" x14ac:dyDescent="0.2">
      <c r="A24" t="s">
        <v>77</v>
      </c>
      <c r="B24" t="s">
        <v>133</v>
      </c>
    </row>
    <row r="25" spans="1:6" ht="12.75" customHeight="1" x14ac:dyDescent="0.2">
      <c r="B25" t="s">
        <v>78</v>
      </c>
    </row>
    <row r="26" spans="1:6" ht="12.75" customHeight="1" x14ac:dyDescent="0.2">
      <c r="B26" t="s">
        <v>148</v>
      </c>
    </row>
    <row r="27" spans="1:6" x14ac:dyDescent="0.2">
      <c r="A27" t="s">
        <v>44</v>
      </c>
    </row>
    <row r="28" spans="1:6" x14ac:dyDescent="0.2">
      <c r="B28" t="s">
        <v>149</v>
      </c>
    </row>
    <row r="29" spans="1:6" x14ac:dyDescent="0.2">
      <c r="C29" t="s">
        <v>150</v>
      </c>
    </row>
    <row r="30" spans="1:6" x14ac:dyDescent="0.2">
      <c r="C30" t="s">
        <v>151</v>
      </c>
    </row>
    <row r="31" spans="1:6" x14ac:dyDescent="0.2">
      <c r="C31" t="s">
        <v>152</v>
      </c>
    </row>
    <row r="32" spans="1:6" ht="25.5" x14ac:dyDescent="0.2">
      <c r="B32" t="s">
        <v>153</v>
      </c>
      <c r="F32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BlockTypes</vt:lpstr>
      <vt:lpstr>BaseTypes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2013-08-17T23:08:36Z</dcterms:modified>
</cp:coreProperties>
</file>