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/>
  </bookViews>
  <sheets>
    <sheet name="BlockTypes" sheetId="1" r:id="rId1"/>
    <sheet name="BaseTypes" sheetId="2" r:id="rId2"/>
  </sheets>
  <calcPr calcId="145621"/>
</workbook>
</file>

<file path=xl/calcChain.xml><?xml version="1.0" encoding="utf-8"?>
<calcChain xmlns="http://schemas.openxmlformats.org/spreadsheetml/2006/main">
  <c r="AM4" i="1" l="1"/>
  <c r="AQ4" i="1" s="1"/>
  <c r="AN4" i="1"/>
  <c r="AO4" i="1"/>
  <c r="AM5" i="1"/>
  <c r="AQ5" i="1" s="1"/>
  <c r="AN5" i="1"/>
  <c r="AO5" i="1"/>
  <c r="AM6" i="1"/>
  <c r="AQ6" i="1" s="1"/>
  <c r="AN6" i="1"/>
  <c r="AO6" i="1"/>
  <c r="AM7" i="1"/>
  <c r="AQ7" i="1" s="1"/>
  <c r="AN7" i="1"/>
  <c r="AO7" i="1"/>
  <c r="AM8" i="1"/>
  <c r="AQ8" i="1" s="1"/>
  <c r="AN8" i="1"/>
  <c r="AO8" i="1"/>
  <c r="AM9" i="1"/>
  <c r="AQ9" i="1" s="1"/>
  <c r="AN9" i="1"/>
  <c r="AO9" i="1"/>
  <c r="AM10" i="1"/>
  <c r="AQ10" i="1" s="1"/>
  <c r="AN10" i="1"/>
  <c r="AO10" i="1"/>
  <c r="AM11" i="1"/>
  <c r="AN11" i="1"/>
  <c r="AQ11" i="1" s="1"/>
  <c r="AO11" i="1"/>
  <c r="AM12" i="1"/>
  <c r="AQ12" i="1" s="1"/>
  <c r="AN12" i="1"/>
  <c r="AO12" i="1"/>
  <c r="AM13" i="1"/>
  <c r="AQ13" i="1" s="1"/>
  <c r="AN13" i="1"/>
  <c r="AO13" i="1"/>
  <c r="AM14" i="1"/>
  <c r="AQ14" i="1" s="1"/>
  <c r="AN14" i="1"/>
  <c r="AO14" i="1"/>
  <c r="AM15" i="1"/>
  <c r="AQ15" i="1" s="1"/>
  <c r="AN15" i="1"/>
  <c r="AO15" i="1"/>
  <c r="AM16" i="1"/>
  <c r="AQ16" i="1" s="1"/>
  <c r="AN16" i="1"/>
  <c r="AO16" i="1"/>
  <c r="AM17" i="1"/>
  <c r="AQ17" i="1" s="1"/>
  <c r="AN17" i="1"/>
  <c r="AO17" i="1"/>
  <c r="AM18" i="1"/>
  <c r="AQ18" i="1" s="1"/>
  <c r="AN18" i="1"/>
  <c r="AO18" i="1"/>
  <c r="AM19" i="1"/>
  <c r="AN19" i="1"/>
  <c r="AQ19" i="1" s="1"/>
  <c r="AO19" i="1"/>
  <c r="AM20" i="1"/>
  <c r="AQ20" i="1" s="1"/>
  <c r="AN20" i="1"/>
  <c r="AO20" i="1"/>
  <c r="AM21" i="1"/>
  <c r="AQ21" i="1" s="1"/>
  <c r="AN21" i="1"/>
  <c r="AO21" i="1"/>
  <c r="AM22" i="1"/>
  <c r="AQ22" i="1" s="1"/>
  <c r="AN22" i="1"/>
  <c r="AO22" i="1"/>
  <c r="AM23" i="1"/>
  <c r="AQ23" i="1" s="1"/>
  <c r="AN23" i="1"/>
  <c r="AO23" i="1"/>
  <c r="AM24" i="1"/>
  <c r="AQ24" i="1" s="1"/>
  <c r="AN24" i="1"/>
  <c r="AO24" i="1"/>
  <c r="AM25" i="1"/>
  <c r="AQ25" i="1" s="1"/>
  <c r="AN25" i="1"/>
  <c r="AO25" i="1"/>
  <c r="AM26" i="1"/>
  <c r="AQ26" i="1" s="1"/>
  <c r="AN26" i="1"/>
  <c r="AO26" i="1"/>
  <c r="AM27" i="1"/>
  <c r="AN27" i="1"/>
  <c r="AQ27" i="1" s="1"/>
  <c r="AO27" i="1"/>
  <c r="AM28" i="1"/>
  <c r="AQ28" i="1" s="1"/>
  <c r="AN28" i="1"/>
  <c r="AO28" i="1"/>
  <c r="AM29" i="1"/>
  <c r="AQ29" i="1" s="1"/>
  <c r="AN29" i="1"/>
  <c r="AO29" i="1"/>
  <c r="AM30" i="1"/>
  <c r="AQ30" i="1" s="1"/>
  <c r="AN30" i="1"/>
  <c r="AO30" i="1"/>
  <c r="AM31" i="1"/>
  <c r="AQ31" i="1" s="1"/>
  <c r="AN31" i="1"/>
  <c r="AO31" i="1"/>
  <c r="AM32" i="1"/>
  <c r="AQ32" i="1" s="1"/>
  <c r="AN32" i="1"/>
  <c r="AO32" i="1"/>
  <c r="AM33" i="1"/>
  <c r="AQ33" i="1" s="1"/>
  <c r="AN33" i="1"/>
  <c r="AO33" i="1"/>
  <c r="AM34" i="1"/>
  <c r="AQ34" i="1" s="1"/>
  <c r="AN34" i="1"/>
  <c r="AO34" i="1"/>
  <c r="AM35" i="1"/>
  <c r="AN35" i="1"/>
  <c r="AQ35" i="1" s="1"/>
  <c r="AO35" i="1"/>
  <c r="AM36" i="1"/>
  <c r="AQ36" i="1" s="1"/>
  <c r="AN36" i="1"/>
  <c r="AO36" i="1"/>
  <c r="AM37" i="1"/>
  <c r="AQ37" i="1" s="1"/>
  <c r="AN37" i="1"/>
  <c r="AO37" i="1"/>
  <c r="AM38" i="1"/>
  <c r="AQ38" i="1" s="1"/>
  <c r="AN38" i="1"/>
  <c r="AO38" i="1"/>
  <c r="AM39" i="1"/>
  <c r="AQ39" i="1" s="1"/>
  <c r="AN39" i="1"/>
  <c r="AO39" i="1"/>
  <c r="AM40" i="1"/>
  <c r="AQ40" i="1" s="1"/>
  <c r="AN40" i="1"/>
  <c r="AO40" i="1"/>
  <c r="AM41" i="1"/>
  <c r="AQ41" i="1" s="1"/>
  <c r="AN41" i="1"/>
  <c r="AO41" i="1"/>
  <c r="AM42" i="1"/>
  <c r="AQ42" i="1" s="1"/>
  <c r="AN42" i="1"/>
  <c r="AO42" i="1"/>
  <c r="AM43" i="1"/>
  <c r="AQ43" i="1" s="1"/>
  <c r="AN43" i="1"/>
  <c r="AO43" i="1"/>
  <c r="AM44" i="1"/>
  <c r="AQ44" i="1" s="1"/>
  <c r="AN44" i="1"/>
  <c r="AO44" i="1"/>
  <c r="AM45" i="1"/>
  <c r="AQ45" i="1" s="1"/>
  <c r="AN45" i="1"/>
  <c r="AO45" i="1"/>
  <c r="AM46" i="1"/>
  <c r="AQ46" i="1" s="1"/>
  <c r="AN46" i="1"/>
  <c r="AO46" i="1"/>
  <c r="AM47" i="1"/>
  <c r="AQ47" i="1" s="1"/>
  <c r="AN47" i="1"/>
  <c r="AO47" i="1"/>
  <c r="AM48" i="1"/>
  <c r="AQ48" i="1" s="1"/>
  <c r="AN48" i="1"/>
  <c r="AO48" i="1"/>
  <c r="AM49" i="1"/>
  <c r="AQ49" i="1" s="1"/>
  <c r="AN49" i="1"/>
  <c r="AO49" i="1"/>
  <c r="AM50" i="1"/>
  <c r="AQ50" i="1" s="1"/>
  <c r="AN50" i="1"/>
  <c r="AO50" i="1"/>
  <c r="AM51" i="1"/>
  <c r="AQ51" i="1" s="1"/>
  <c r="AN51" i="1"/>
  <c r="AO51" i="1"/>
  <c r="AM52" i="1"/>
  <c r="AQ52" i="1" s="1"/>
  <c r="AN52" i="1"/>
  <c r="AO52" i="1"/>
  <c r="AM53" i="1"/>
  <c r="AQ53" i="1" s="1"/>
  <c r="AN53" i="1"/>
  <c r="AO53" i="1"/>
  <c r="AI4" i="1"/>
  <c r="AP4" i="1" s="1"/>
  <c r="AJ4" i="1"/>
  <c r="AK4" i="1"/>
  <c r="AL4" i="1"/>
  <c r="AI5" i="1"/>
  <c r="AP5" i="1" s="1"/>
  <c r="AJ5" i="1"/>
  <c r="AK5" i="1"/>
  <c r="AL5" i="1"/>
  <c r="AI6" i="1"/>
  <c r="AP6" i="1" s="1"/>
  <c r="AJ6" i="1"/>
  <c r="AK6" i="1"/>
  <c r="AL6" i="1"/>
  <c r="AI7" i="1"/>
  <c r="AP7" i="1" s="1"/>
  <c r="AJ7" i="1"/>
  <c r="AK7" i="1"/>
  <c r="AL7" i="1"/>
  <c r="AI8" i="1"/>
  <c r="AP8" i="1" s="1"/>
  <c r="AJ8" i="1"/>
  <c r="AK8" i="1"/>
  <c r="AL8" i="1"/>
  <c r="AI9" i="1"/>
  <c r="AP9" i="1" s="1"/>
  <c r="AJ9" i="1"/>
  <c r="AK9" i="1"/>
  <c r="AL9" i="1"/>
  <c r="AI10" i="1"/>
  <c r="AP10" i="1" s="1"/>
  <c r="AJ10" i="1"/>
  <c r="AK10" i="1"/>
  <c r="AL10" i="1"/>
  <c r="AI11" i="1"/>
  <c r="AP11" i="1" s="1"/>
  <c r="AJ11" i="1"/>
  <c r="AK11" i="1"/>
  <c r="AL11" i="1"/>
  <c r="AI12" i="1"/>
  <c r="AP12" i="1" s="1"/>
  <c r="AJ12" i="1"/>
  <c r="AK12" i="1"/>
  <c r="AL12" i="1"/>
  <c r="AI13" i="1"/>
  <c r="AP13" i="1" s="1"/>
  <c r="AJ13" i="1"/>
  <c r="AK13" i="1"/>
  <c r="AL13" i="1"/>
  <c r="AI14" i="1"/>
  <c r="AP14" i="1" s="1"/>
  <c r="AJ14" i="1"/>
  <c r="AK14" i="1"/>
  <c r="AL14" i="1"/>
  <c r="AI15" i="1"/>
  <c r="AP15" i="1" s="1"/>
  <c r="AJ15" i="1"/>
  <c r="AK15" i="1"/>
  <c r="AL15" i="1"/>
  <c r="AI16" i="1"/>
  <c r="AP16" i="1" s="1"/>
  <c r="AJ16" i="1"/>
  <c r="AK16" i="1"/>
  <c r="AL16" i="1"/>
  <c r="AI17" i="1"/>
  <c r="AP17" i="1" s="1"/>
  <c r="AJ17" i="1"/>
  <c r="AK17" i="1"/>
  <c r="AL17" i="1"/>
  <c r="AI18" i="1"/>
  <c r="AP18" i="1" s="1"/>
  <c r="AJ18" i="1"/>
  <c r="AK18" i="1"/>
  <c r="AL18" i="1"/>
  <c r="AI19" i="1"/>
  <c r="AP19" i="1" s="1"/>
  <c r="AJ19" i="1"/>
  <c r="AK19" i="1"/>
  <c r="AL19" i="1"/>
  <c r="AI20" i="1"/>
  <c r="AP20" i="1" s="1"/>
  <c r="AJ20" i="1"/>
  <c r="AK20" i="1"/>
  <c r="AL20" i="1"/>
  <c r="AI21" i="1"/>
  <c r="AP21" i="1" s="1"/>
  <c r="AJ21" i="1"/>
  <c r="AK21" i="1"/>
  <c r="AL21" i="1"/>
  <c r="AI22" i="1"/>
  <c r="AP22" i="1" s="1"/>
  <c r="AJ22" i="1"/>
  <c r="AK22" i="1"/>
  <c r="AL22" i="1"/>
  <c r="AI23" i="1"/>
  <c r="AP23" i="1" s="1"/>
  <c r="AJ23" i="1"/>
  <c r="AK23" i="1"/>
  <c r="AL23" i="1"/>
  <c r="AI24" i="1"/>
  <c r="AP24" i="1" s="1"/>
  <c r="AJ24" i="1"/>
  <c r="AK24" i="1"/>
  <c r="AL24" i="1"/>
  <c r="AI25" i="1"/>
  <c r="AP25" i="1" s="1"/>
  <c r="AJ25" i="1"/>
  <c r="AK25" i="1"/>
  <c r="AL25" i="1"/>
  <c r="AI26" i="1"/>
  <c r="AP26" i="1" s="1"/>
  <c r="AJ26" i="1"/>
  <c r="AK26" i="1"/>
  <c r="AL26" i="1"/>
  <c r="AI27" i="1"/>
  <c r="AP27" i="1" s="1"/>
  <c r="AJ27" i="1"/>
  <c r="AK27" i="1"/>
  <c r="AL27" i="1"/>
  <c r="AI28" i="1"/>
  <c r="AP28" i="1" s="1"/>
  <c r="AJ28" i="1"/>
  <c r="AK28" i="1"/>
  <c r="AL28" i="1"/>
  <c r="AI29" i="1"/>
  <c r="AP29" i="1" s="1"/>
  <c r="AJ29" i="1"/>
  <c r="AK29" i="1"/>
  <c r="AL29" i="1"/>
  <c r="AI30" i="1"/>
  <c r="AP30" i="1" s="1"/>
  <c r="AJ30" i="1"/>
  <c r="AK30" i="1"/>
  <c r="AL30" i="1"/>
  <c r="AI31" i="1"/>
  <c r="AP31" i="1" s="1"/>
  <c r="AJ31" i="1"/>
  <c r="AK31" i="1"/>
  <c r="AL31" i="1"/>
  <c r="AI32" i="1"/>
  <c r="AP32" i="1" s="1"/>
  <c r="AJ32" i="1"/>
  <c r="AK32" i="1"/>
  <c r="AL32" i="1"/>
  <c r="AI33" i="1"/>
  <c r="AP33" i="1" s="1"/>
  <c r="AJ33" i="1"/>
  <c r="AK33" i="1"/>
  <c r="AL33" i="1"/>
  <c r="AI34" i="1"/>
  <c r="AP34" i="1" s="1"/>
  <c r="AJ34" i="1"/>
  <c r="AK34" i="1"/>
  <c r="AL34" i="1"/>
  <c r="AI35" i="1"/>
  <c r="AP35" i="1" s="1"/>
  <c r="AJ35" i="1"/>
  <c r="AK35" i="1"/>
  <c r="AL35" i="1"/>
  <c r="AI36" i="1"/>
  <c r="AP36" i="1" s="1"/>
  <c r="AJ36" i="1"/>
  <c r="AK36" i="1"/>
  <c r="AL36" i="1"/>
  <c r="AI37" i="1"/>
  <c r="AP37" i="1" s="1"/>
  <c r="AJ37" i="1"/>
  <c r="AK37" i="1"/>
  <c r="AL37" i="1"/>
  <c r="AI38" i="1"/>
  <c r="AP38" i="1" s="1"/>
  <c r="AJ38" i="1"/>
  <c r="AK38" i="1"/>
  <c r="AL38" i="1"/>
  <c r="AI39" i="1"/>
  <c r="AP39" i="1" s="1"/>
  <c r="AJ39" i="1"/>
  <c r="AK39" i="1"/>
  <c r="AL39" i="1"/>
  <c r="AI40" i="1"/>
  <c r="AP40" i="1" s="1"/>
  <c r="AJ40" i="1"/>
  <c r="AK40" i="1"/>
  <c r="AL40" i="1"/>
  <c r="AI41" i="1"/>
  <c r="AP41" i="1" s="1"/>
  <c r="AJ41" i="1"/>
  <c r="AK41" i="1"/>
  <c r="AL41" i="1"/>
  <c r="AI42" i="1"/>
  <c r="AP42" i="1" s="1"/>
  <c r="AJ42" i="1"/>
  <c r="AK42" i="1"/>
  <c r="AL42" i="1"/>
  <c r="AI43" i="1"/>
  <c r="AP43" i="1" s="1"/>
  <c r="AJ43" i="1"/>
  <c r="AK43" i="1"/>
  <c r="AL43" i="1"/>
  <c r="AI44" i="1"/>
  <c r="AP44" i="1" s="1"/>
  <c r="AJ44" i="1"/>
  <c r="AK44" i="1"/>
  <c r="AL44" i="1"/>
  <c r="AI45" i="1"/>
  <c r="AP45" i="1" s="1"/>
  <c r="AJ45" i="1"/>
  <c r="AK45" i="1"/>
  <c r="AL45" i="1"/>
  <c r="AI46" i="1"/>
  <c r="AP46" i="1" s="1"/>
  <c r="AJ46" i="1"/>
  <c r="AK46" i="1"/>
  <c r="AL46" i="1"/>
  <c r="AI47" i="1"/>
  <c r="AP47" i="1" s="1"/>
  <c r="AJ47" i="1"/>
  <c r="AK47" i="1"/>
  <c r="AL47" i="1"/>
  <c r="AI48" i="1"/>
  <c r="AP48" i="1" s="1"/>
  <c r="AJ48" i="1"/>
  <c r="AK48" i="1"/>
  <c r="AL48" i="1"/>
  <c r="AI49" i="1"/>
  <c r="AP49" i="1" s="1"/>
  <c r="AJ49" i="1"/>
  <c r="AK49" i="1"/>
  <c r="AL49" i="1"/>
  <c r="AI50" i="1"/>
  <c r="AP50" i="1" s="1"/>
  <c r="AJ50" i="1"/>
  <c r="AK50" i="1"/>
  <c r="AL50" i="1"/>
  <c r="AI51" i="1"/>
  <c r="AP51" i="1" s="1"/>
  <c r="AJ51" i="1"/>
  <c r="AK51" i="1"/>
  <c r="AL51" i="1"/>
  <c r="AI52" i="1"/>
  <c r="AP52" i="1" s="1"/>
  <c r="AJ52" i="1"/>
  <c r="AK52" i="1"/>
  <c r="AL52" i="1"/>
  <c r="AI53" i="1"/>
  <c r="AP53" i="1" s="1"/>
  <c r="AJ53" i="1"/>
  <c r="AK53" i="1"/>
  <c r="AL53" i="1"/>
  <c r="AH6" i="1"/>
  <c r="AH10" i="1"/>
  <c r="AH12" i="1"/>
  <c r="AH14" i="1"/>
  <c r="AH15" i="1"/>
  <c r="AH19" i="1"/>
  <c r="AH22" i="1"/>
  <c r="AH31" i="1"/>
  <c r="AH37" i="1"/>
  <c r="AH38" i="1"/>
  <c r="AH51" i="1"/>
  <c r="AO3" i="1"/>
  <c r="AN3" i="1"/>
  <c r="AJ3" i="1"/>
  <c r="AM3" i="1"/>
  <c r="AQ3" i="1" s="1"/>
  <c r="AI3" i="1"/>
  <c r="AP3" i="1" s="1"/>
  <c r="AK3" i="1"/>
  <c r="AL3" i="1"/>
  <c r="AB53" i="1" l="1"/>
  <c r="AC53" i="1"/>
  <c r="AB54" i="1"/>
  <c r="AC54" i="1"/>
  <c r="AE54" i="1"/>
  <c r="AH54" i="1"/>
  <c r="AB55" i="1"/>
  <c r="AC55" i="1"/>
  <c r="AE55" i="1"/>
  <c r="AH55" i="1"/>
  <c r="AB56" i="1"/>
  <c r="AC56" i="1"/>
  <c r="AE56" i="1"/>
  <c r="AH56" i="1"/>
  <c r="AB57" i="1"/>
  <c r="AC57" i="1"/>
  <c r="AE57" i="1"/>
  <c r="AH57" i="1"/>
  <c r="AB58" i="1"/>
  <c r="AC58" i="1"/>
  <c r="AE58" i="1"/>
  <c r="AH58" i="1"/>
  <c r="AB59" i="1"/>
  <c r="AC59" i="1"/>
  <c r="AE59" i="1"/>
  <c r="AH59" i="1"/>
  <c r="AB60" i="1"/>
  <c r="AC60" i="1"/>
  <c r="AE60" i="1"/>
  <c r="AH60" i="1"/>
  <c r="AB61" i="1"/>
  <c r="AC61" i="1"/>
  <c r="AE61" i="1"/>
  <c r="AH61" i="1"/>
  <c r="AB62" i="1"/>
  <c r="AC62" i="1"/>
  <c r="AE62" i="1"/>
  <c r="AH62" i="1"/>
  <c r="AB63" i="1"/>
  <c r="AC63" i="1"/>
  <c r="AE63" i="1"/>
  <c r="AH63" i="1"/>
  <c r="AB64" i="1"/>
  <c r="AC64" i="1"/>
  <c r="AE64" i="1"/>
  <c r="AH64" i="1"/>
  <c r="AB65" i="1"/>
  <c r="AC65" i="1"/>
  <c r="AE65" i="1"/>
  <c r="AH65" i="1"/>
  <c r="AB66" i="1"/>
  <c r="AC66" i="1"/>
  <c r="AE66" i="1"/>
  <c r="AH66" i="1"/>
  <c r="AB67" i="1"/>
  <c r="AC67" i="1"/>
  <c r="AE67" i="1"/>
  <c r="AH67" i="1"/>
  <c r="AB68" i="1"/>
  <c r="AC68" i="1"/>
  <c r="AE68" i="1"/>
  <c r="AH68" i="1"/>
  <c r="AB69" i="1"/>
  <c r="AC69" i="1"/>
  <c r="AE69" i="1"/>
  <c r="AH69" i="1"/>
  <c r="AB70" i="1"/>
  <c r="AC70" i="1"/>
  <c r="AE70" i="1"/>
  <c r="AH70" i="1"/>
  <c r="AB71" i="1"/>
  <c r="AC71" i="1"/>
  <c r="AE71" i="1"/>
  <c r="AH71" i="1"/>
  <c r="AB72" i="1"/>
  <c r="AC72" i="1"/>
  <c r="AE72" i="1"/>
  <c r="AH72" i="1"/>
  <c r="AB73" i="1"/>
  <c r="AC73" i="1"/>
  <c r="AE73" i="1"/>
  <c r="AH73" i="1"/>
  <c r="AB74" i="1"/>
  <c r="AC74" i="1"/>
  <c r="AE74" i="1"/>
  <c r="AH74" i="1"/>
  <c r="AB75" i="1"/>
  <c r="AC75" i="1"/>
  <c r="AE75" i="1"/>
  <c r="AH75" i="1"/>
  <c r="AB76" i="1"/>
  <c r="AC76" i="1"/>
  <c r="AE76" i="1"/>
  <c r="AH76" i="1"/>
  <c r="AB77" i="1"/>
  <c r="AC77" i="1"/>
  <c r="AE77" i="1"/>
  <c r="AH77" i="1"/>
  <c r="AB78" i="1"/>
  <c r="AC78" i="1"/>
  <c r="AE78" i="1"/>
  <c r="AH78" i="1"/>
  <c r="AB79" i="1"/>
  <c r="AC79" i="1"/>
  <c r="AE79" i="1"/>
  <c r="AH79" i="1"/>
  <c r="AB80" i="1"/>
  <c r="AC80" i="1"/>
  <c r="AE80" i="1"/>
  <c r="AH80" i="1"/>
  <c r="AB81" i="1"/>
  <c r="AC81" i="1"/>
  <c r="AE81" i="1"/>
  <c r="AH81" i="1"/>
  <c r="AB82" i="1"/>
  <c r="AC82" i="1"/>
  <c r="AE82" i="1"/>
  <c r="AH82" i="1"/>
  <c r="AB83" i="1"/>
  <c r="AC83" i="1"/>
  <c r="AE83" i="1"/>
  <c r="AH83" i="1"/>
  <c r="AB84" i="1"/>
  <c r="AC84" i="1"/>
  <c r="AE84" i="1"/>
  <c r="AH84" i="1"/>
  <c r="AB85" i="1"/>
  <c r="AC85" i="1"/>
  <c r="AE85" i="1"/>
  <c r="AH85" i="1"/>
  <c r="AB86" i="1"/>
  <c r="AC86" i="1"/>
  <c r="AE86" i="1"/>
  <c r="AH86" i="1"/>
  <c r="AB87" i="1"/>
  <c r="AC87" i="1"/>
  <c r="AE87" i="1"/>
  <c r="AH87" i="1"/>
  <c r="AB88" i="1"/>
  <c r="AC88" i="1"/>
  <c r="AE88" i="1"/>
  <c r="AH88" i="1"/>
  <c r="AB89" i="1"/>
  <c r="AC89" i="1"/>
  <c r="AE89" i="1"/>
  <c r="AH89" i="1"/>
  <c r="AB90" i="1"/>
  <c r="AC90" i="1"/>
  <c r="AE90" i="1"/>
  <c r="AH90" i="1"/>
  <c r="AB91" i="1"/>
  <c r="AC91" i="1"/>
  <c r="AE91" i="1"/>
  <c r="AH91" i="1"/>
  <c r="AB92" i="1"/>
  <c r="AC92" i="1"/>
  <c r="AE92" i="1"/>
  <c r="AH92" i="1"/>
  <c r="AB93" i="1"/>
  <c r="AC93" i="1"/>
  <c r="AE93" i="1"/>
  <c r="AH93" i="1"/>
  <c r="AB94" i="1"/>
  <c r="AC94" i="1"/>
  <c r="AE94" i="1"/>
  <c r="AH94" i="1"/>
  <c r="AB95" i="1"/>
  <c r="AC95" i="1"/>
  <c r="AE95" i="1"/>
  <c r="AH95" i="1"/>
  <c r="AB96" i="1"/>
  <c r="AC96" i="1"/>
  <c r="AE96" i="1"/>
  <c r="AH96" i="1"/>
  <c r="AB97" i="1"/>
  <c r="AC97" i="1"/>
  <c r="AE97" i="1"/>
  <c r="AH97" i="1"/>
  <c r="AB98" i="1"/>
  <c r="AC98" i="1"/>
  <c r="AE98" i="1"/>
  <c r="AH98" i="1"/>
  <c r="AB99" i="1"/>
  <c r="AC99" i="1"/>
  <c r="AE99" i="1"/>
  <c r="AH99" i="1"/>
  <c r="Z54" i="1"/>
  <c r="Z58" i="1"/>
  <c r="Z62" i="1"/>
  <c r="Z66" i="1"/>
  <c r="Z70" i="1"/>
  <c r="Z74" i="1"/>
  <c r="Z78" i="1"/>
  <c r="Z82" i="1"/>
  <c r="Z86" i="1"/>
  <c r="Z90" i="1"/>
  <c r="Z94" i="1"/>
  <c r="Z98" i="1"/>
  <c r="V54" i="1"/>
  <c r="AA54" i="1"/>
  <c r="V55" i="1"/>
  <c r="Z55" i="1" s="1"/>
  <c r="AA55" i="1"/>
  <c r="V56" i="1"/>
  <c r="Z56" i="1" s="1"/>
  <c r="AA56" i="1"/>
  <c r="V57" i="1"/>
  <c r="Z57" i="1" s="1"/>
  <c r="AA57" i="1"/>
  <c r="V58" i="1"/>
  <c r="AA58" i="1"/>
  <c r="V59" i="1"/>
  <c r="Z59" i="1" s="1"/>
  <c r="AA59" i="1"/>
  <c r="V60" i="1"/>
  <c r="Z60" i="1" s="1"/>
  <c r="AA60" i="1"/>
  <c r="AD60" i="1" s="1"/>
  <c r="V61" i="1"/>
  <c r="Z61" i="1" s="1"/>
  <c r="AA61" i="1"/>
  <c r="V62" i="1"/>
  <c r="AA62" i="1"/>
  <c r="AD62" i="1" s="1"/>
  <c r="V63" i="1"/>
  <c r="Z63" i="1" s="1"/>
  <c r="AA63" i="1"/>
  <c r="V64" i="1"/>
  <c r="Z64" i="1" s="1"/>
  <c r="AA64" i="1"/>
  <c r="V65" i="1"/>
  <c r="Z65" i="1" s="1"/>
  <c r="AA65" i="1"/>
  <c r="V66" i="1"/>
  <c r="AA66" i="1"/>
  <c r="V67" i="1"/>
  <c r="Z67" i="1" s="1"/>
  <c r="AA67" i="1"/>
  <c r="V68" i="1"/>
  <c r="Z68" i="1" s="1"/>
  <c r="AA68" i="1"/>
  <c r="AD68" i="1" s="1"/>
  <c r="V69" i="1"/>
  <c r="Z69" i="1" s="1"/>
  <c r="AA69" i="1"/>
  <c r="V70" i="1"/>
  <c r="AA70" i="1"/>
  <c r="AD70" i="1" s="1"/>
  <c r="V71" i="1"/>
  <c r="Z71" i="1" s="1"/>
  <c r="AA71" i="1"/>
  <c r="V72" i="1"/>
  <c r="Z72" i="1" s="1"/>
  <c r="AA72" i="1"/>
  <c r="V73" i="1"/>
  <c r="Z73" i="1" s="1"/>
  <c r="AA73" i="1"/>
  <c r="V74" i="1"/>
  <c r="AA74" i="1"/>
  <c r="V75" i="1"/>
  <c r="Z75" i="1" s="1"/>
  <c r="AA75" i="1"/>
  <c r="V76" i="1"/>
  <c r="Z76" i="1" s="1"/>
  <c r="AA76" i="1"/>
  <c r="AD76" i="1" s="1"/>
  <c r="V77" i="1"/>
  <c r="Z77" i="1" s="1"/>
  <c r="AA77" i="1"/>
  <c r="V78" i="1"/>
  <c r="AA78" i="1"/>
  <c r="AD78" i="1" s="1"/>
  <c r="V79" i="1"/>
  <c r="Z79" i="1" s="1"/>
  <c r="AA79" i="1"/>
  <c r="V80" i="1"/>
  <c r="Z80" i="1" s="1"/>
  <c r="AA80" i="1"/>
  <c r="V81" i="1"/>
  <c r="Z81" i="1" s="1"/>
  <c r="AA81" i="1"/>
  <c r="V82" i="1"/>
  <c r="AA82" i="1"/>
  <c r="V83" i="1"/>
  <c r="Z83" i="1" s="1"/>
  <c r="AA83" i="1"/>
  <c r="V84" i="1"/>
  <c r="Z84" i="1" s="1"/>
  <c r="AA84" i="1"/>
  <c r="AD84" i="1" s="1"/>
  <c r="V85" i="1"/>
  <c r="Z85" i="1" s="1"/>
  <c r="AA85" i="1"/>
  <c r="V86" i="1"/>
  <c r="AA86" i="1"/>
  <c r="AD86" i="1" s="1"/>
  <c r="V87" i="1"/>
  <c r="Z87" i="1" s="1"/>
  <c r="AA87" i="1"/>
  <c r="V88" i="1"/>
  <c r="Z88" i="1" s="1"/>
  <c r="AA88" i="1"/>
  <c r="V89" i="1"/>
  <c r="Z89" i="1" s="1"/>
  <c r="AA89" i="1"/>
  <c r="V90" i="1"/>
  <c r="AA90" i="1"/>
  <c r="V91" i="1"/>
  <c r="Z91" i="1" s="1"/>
  <c r="AA91" i="1"/>
  <c r="V92" i="1"/>
  <c r="Z92" i="1" s="1"/>
  <c r="AA92" i="1"/>
  <c r="AD92" i="1" s="1"/>
  <c r="V93" i="1"/>
  <c r="Z93" i="1" s="1"/>
  <c r="AA93" i="1"/>
  <c r="V94" i="1"/>
  <c r="AA94" i="1"/>
  <c r="AD94" i="1" s="1"/>
  <c r="V95" i="1"/>
  <c r="Z95" i="1" s="1"/>
  <c r="AA95" i="1"/>
  <c r="AD95" i="1" s="1"/>
  <c r="V96" i="1"/>
  <c r="Z96" i="1" s="1"/>
  <c r="AA96" i="1"/>
  <c r="V97" i="1"/>
  <c r="Z97" i="1" s="1"/>
  <c r="AA97" i="1"/>
  <c r="V98" i="1"/>
  <c r="AA98" i="1"/>
  <c r="V99" i="1"/>
  <c r="Z99" i="1" s="1"/>
  <c r="AA99" i="1"/>
  <c r="AA53" i="1"/>
  <c r="V53" i="1"/>
  <c r="Z53" i="1" s="1"/>
  <c r="AE6" i="1"/>
  <c r="AE10" i="1"/>
  <c r="AE12" i="1"/>
  <c r="AE14" i="1"/>
  <c r="AE15" i="1"/>
  <c r="AE19" i="1"/>
  <c r="AE22" i="1"/>
  <c r="AE31" i="1"/>
  <c r="AE37" i="1"/>
  <c r="AE38" i="1"/>
  <c r="AE51" i="1"/>
  <c r="AF3" i="1"/>
  <c r="AG4" i="1"/>
  <c r="AG5" i="1" s="1"/>
  <c r="AA4" i="1"/>
  <c r="AB4" i="1"/>
  <c r="AC4" i="1"/>
  <c r="AA5" i="1"/>
  <c r="AB5" i="1"/>
  <c r="AC5" i="1"/>
  <c r="AA6" i="1"/>
  <c r="AD6" i="1" s="1"/>
  <c r="AB6" i="1"/>
  <c r="AC6" i="1"/>
  <c r="AA7" i="1"/>
  <c r="AB7" i="1"/>
  <c r="AC7" i="1"/>
  <c r="AA8" i="1"/>
  <c r="AB8" i="1"/>
  <c r="AC8" i="1"/>
  <c r="AA9" i="1"/>
  <c r="AD9" i="1" s="1"/>
  <c r="AB9" i="1"/>
  <c r="AC9" i="1"/>
  <c r="AA10" i="1"/>
  <c r="AD10" i="1" s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D14" i="1" s="1"/>
  <c r="AB14" i="1"/>
  <c r="AC14" i="1"/>
  <c r="AA15" i="1"/>
  <c r="AB15" i="1"/>
  <c r="AC15" i="1"/>
  <c r="AA16" i="1"/>
  <c r="AB16" i="1"/>
  <c r="AC16" i="1"/>
  <c r="AA17" i="1"/>
  <c r="AD17" i="1" s="1"/>
  <c r="AB17" i="1"/>
  <c r="AC17" i="1"/>
  <c r="AA18" i="1"/>
  <c r="AD18" i="1" s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D22" i="1" s="1"/>
  <c r="AB22" i="1"/>
  <c r="AC22" i="1"/>
  <c r="AA23" i="1"/>
  <c r="AB23" i="1"/>
  <c r="AC23" i="1"/>
  <c r="AA24" i="1"/>
  <c r="AB24" i="1"/>
  <c r="AC24" i="1"/>
  <c r="AA25" i="1"/>
  <c r="AD25" i="1" s="1"/>
  <c r="AB25" i="1"/>
  <c r="AC25" i="1"/>
  <c r="AA26" i="1"/>
  <c r="AD26" i="1" s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D30" i="1" s="1"/>
  <c r="AB30" i="1"/>
  <c r="AC30" i="1"/>
  <c r="AA31" i="1"/>
  <c r="AB31" i="1"/>
  <c r="AC31" i="1"/>
  <c r="AA32" i="1"/>
  <c r="AB32" i="1"/>
  <c r="AC32" i="1"/>
  <c r="AA33" i="1"/>
  <c r="AD33" i="1" s="1"/>
  <c r="AB33" i="1"/>
  <c r="AC33" i="1"/>
  <c r="AA34" i="1"/>
  <c r="AD34" i="1" s="1"/>
  <c r="AB34" i="1"/>
  <c r="AC34" i="1"/>
  <c r="AA35" i="1"/>
  <c r="AB35" i="1"/>
  <c r="AC35" i="1"/>
  <c r="AA36" i="1"/>
  <c r="AB36" i="1"/>
  <c r="AC36" i="1"/>
  <c r="AA37" i="1"/>
  <c r="AB37" i="1"/>
  <c r="AC37" i="1"/>
  <c r="AA38" i="1"/>
  <c r="AD38" i="1" s="1"/>
  <c r="AB38" i="1"/>
  <c r="AC38" i="1"/>
  <c r="AA39" i="1"/>
  <c r="AB39" i="1"/>
  <c r="AC39" i="1"/>
  <c r="AA40" i="1"/>
  <c r="AB40" i="1"/>
  <c r="AC40" i="1"/>
  <c r="AA41" i="1"/>
  <c r="AD41" i="1" s="1"/>
  <c r="AB41" i="1"/>
  <c r="AC41" i="1"/>
  <c r="AA42" i="1"/>
  <c r="AD42" i="1" s="1"/>
  <c r="AB42" i="1"/>
  <c r="AC42" i="1"/>
  <c r="AA43" i="1"/>
  <c r="AB43" i="1"/>
  <c r="AC43" i="1"/>
  <c r="AA44" i="1"/>
  <c r="AB44" i="1"/>
  <c r="AC44" i="1"/>
  <c r="AA45" i="1"/>
  <c r="AB45" i="1"/>
  <c r="AC45" i="1"/>
  <c r="AA46" i="1"/>
  <c r="AD46" i="1" s="1"/>
  <c r="AB46" i="1"/>
  <c r="AC46" i="1"/>
  <c r="AA47" i="1"/>
  <c r="AB47" i="1"/>
  <c r="AC47" i="1"/>
  <c r="AA48" i="1"/>
  <c r="AB48" i="1"/>
  <c r="AC48" i="1"/>
  <c r="AA49" i="1"/>
  <c r="AD49" i="1" s="1"/>
  <c r="AB49" i="1"/>
  <c r="AC49" i="1"/>
  <c r="AA50" i="1"/>
  <c r="AD50" i="1" s="1"/>
  <c r="AB50" i="1"/>
  <c r="AC50" i="1"/>
  <c r="AA51" i="1"/>
  <c r="AB51" i="1"/>
  <c r="AC51" i="1"/>
  <c r="AA52" i="1"/>
  <c r="AB52" i="1"/>
  <c r="AC52" i="1"/>
  <c r="AC3" i="1"/>
  <c r="AB3" i="1"/>
  <c r="AA3" i="1"/>
  <c r="AD3" i="1" s="1"/>
  <c r="Y3" i="1"/>
  <c r="V4" i="1"/>
  <c r="Z4" i="1" s="1"/>
  <c r="V5" i="1"/>
  <c r="V6" i="1"/>
  <c r="Z6" i="1" s="1"/>
  <c r="V7" i="1"/>
  <c r="Z7" i="1" s="1"/>
  <c r="V8" i="1"/>
  <c r="Z8" i="1" s="1"/>
  <c r="V9" i="1"/>
  <c r="Z9" i="1" s="1"/>
  <c r="V10" i="1"/>
  <c r="Z10" i="1" s="1"/>
  <c r="V11" i="1"/>
  <c r="V12" i="1"/>
  <c r="Z12" i="1" s="1"/>
  <c r="V13" i="1"/>
  <c r="Z13" i="1" s="1"/>
  <c r="V14" i="1"/>
  <c r="V15" i="1"/>
  <c r="Z15" i="1" s="1"/>
  <c r="V16" i="1"/>
  <c r="Z16" i="1" s="1"/>
  <c r="V17" i="1"/>
  <c r="V18" i="1"/>
  <c r="V19" i="1"/>
  <c r="Z19" i="1" s="1"/>
  <c r="V20" i="1"/>
  <c r="Z20" i="1" s="1"/>
  <c r="V21" i="1"/>
  <c r="Z21" i="1" s="1"/>
  <c r="V22" i="1"/>
  <c r="V23" i="1"/>
  <c r="Z23" i="1" s="1"/>
  <c r="V24" i="1"/>
  <c r="Z24" i="1" s="1"/>
  <c r="V25" i="1"/>
  <c r="V26" i="1"/>
  <c r="V27" i="1"/>
  <c r="Z27" i="1" s="1"/>
  <c r="V28" i="1"/>
  <c r="Z28" i="1" s="1"/>
  <c r="V29" i="1"/>
  <c r="Z29" i="1" s="1"/>
  <c r="V30" i="1"/>
  <c r="V31" i="1"/>
  <c r="Z31" i="1" s="1"/>
  <c r="V32" i="1"/>
  <c r="Z32" i="1" s="1"/>
  <c r="V33" i="1"/>
  <c r="V34" i="1"/>
  <c r="V35" i="1"/>
  <c r="Z35" i="1" s="1"/>
  <c r="V36" i="1"/>
  <c r="Z36" i="1" s="1"/>
  <c r="V37" i="1"/>
  <c r="Z37" i="1" s="1"/>
  <c r="V38" i="1"/>
  <c r="V39" i="1"/>
  <c r="Z39" i="1" s="1"/>
  <c r="V40" i="1"/>
  <c r="Z40" i="1" s="1"/>
  <c r="V41" i="1"/>
  <c r="V42" i="1"/>
  <c r="V43" i="1"/>
  <c r="Z43" i="1" s="1"/>
  <c r="V44" i="1"/>
  <c r="Z44" i="1" s="1"/>
  <c r="V45" i="1"/>
  <c r="Z45" i="1" s="1"/>
  <c r="V46" i="1"/>
  <c r="V47" i="1"/>
  <c r="Z47" i="1" s="1"/>
  <c r="V48" i="1"/>
  <c r="Z48" i="1" s="1"/>
  <c r="V49" i="1"/>
  <c r="V50" i="1"/>
  <c r="V51" i="1"/>
  <c r="Z51" i="1" s="1"/>
  <c r="V5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Z14" i="1" s="1"/>
  <c r="X14" i="1"/>
  <c r="Y14" i="1"/>
  <c r="W15" i="1"/>
  <c r="X15" i="1"/>
  <c r="Y15" i="1"/>
  <c r="W16" i="1"/>
  <c r="X16" i="1"/>
  <c r="Y16" i="1"/>
  <c r="W17" i="1"/>
  <c r="Z17" i="1" s="1"/>
  <c r="X17" i="1"/>
  <c r="Y17" i="1"/>
  <c r="W18" i="1"/>
  <c r="Z18" i="1" s="1"/>
  <c r="X18" i="1"/>
  <c r="Y18" i="1"/>
  <c r="W19" i="1"/>
  <c r="X19" i="1"/>
  <c r="Y19" i="1"/>
  <c r="W20" i="1"/>
  <c r="X20" i="1"/>
  <c r="Y20" i="1"/>
  <c r="W21" i="1"/>
  <c r="X21" i="1"/>
  <c r="Y21" i="1"/>
  <c r="W22" i="1"/>
  <c r="Z22" i="1" s="1"/>
  <c r="X22" i="1"/>
  <c r="Y22" i="1"/>
  <c r="W23" i="1"/>
  <c r="X23" i="1"/>
  <c r="Y23" i="1"/>
  <c r="W24" i="1"/>
  <c r="X24" i="1"/>
  <c r="Y24" i="1"/>
  <c r="W25" i="1"/>
  <c r="Z25" i="1" s="1"/>
  <c r="X25" i="1"/>
  <c r="Y25" i="1"/>
  <c r="W26" i="1"/>
  <c r="Z26" i="1" s="1"/>
  <c r="X26" i="1"/>
  <c r="Y26" i="1"/>
  <c r="W27" i="1"/>
  <c r="X27" i="1"/>
  <c r="Y27" i="1"/>
  <c r="W28" i="1"/>
  <c r="X28" i="1"/>
  <c r="Y28" i="1"/>
  <c r="W29" i="1"/>
  <c r="X29" i="1"/>
  <c r="Y29" i="1"/>
  <c r="W30" i="1"/>
  <c r="Z30" i="1" s="1"/>
  <c r="X30" i="1"/>
  <c r="Y30" i="1"/>
  <c r="W31" i="1"/>
  <c r="X31" i="1"/>
  <c r="Y31" i="1"/>
  <c r="W32" i="1"/>
  <c r="X32" i="1"/>
  <c r="Y32" i="1"/>
  <c r="W33" i="1"/>
  <c r="Z33" i="1" s="1"/>
  <c r="X33" i="1"/>
  <c r="Y33" i="1"/>
  <c r="W34" i="1"/>
  <c r="Z34" i="1" s="1"/>
  <c r="X34" i="1"/>
  <c r="Y34" i="1"/>
  <c r="W35" i="1"/>
  <c r="X35" i="1"/>
  <c r="Y35" i="1"/>
  <c r="W36" i="1"/>
  <c r="X36" i="1"/>
  <c r="Y36" i="1"/>
  <c r="W37" i="1"/>
  <c r="X37" i="1"/>
  <c r="Y37" i="1"/>
  <c r="W38" i="1"/>
  <c r="Z38" i="1" s="1"/>
  <c r="X38" i="1"/>
  <c r="Y38" i="1"/>
  <c r="W39" i="1"/>
  <c r="X39" i="1"/>
  <c r="Y39" i="1"/>
  <c r="W40" i="1"/>
  <c r="X40" i="1"/>
  <c r="Y40" i="1"/>
  <c r="W41" i="1"/>
  <c r="Z41" i="1" s="1"/>
  <c r="X41" i="1"/>
  <c r="Y41" i="1"/>
  <c r="W42" i="1"/>
  <c r="Z42" i="1" s="1"/>
  <c r="X42" i="1"/>
  <c r="Y42" i="1"/>
  <c r="W43" i="1"/>
  <c r="X43" i="1"/>
  <c r="Y43" i="1"/>
  <c r="W44" i="1"/>
  <c r="X44" i="1"/>
  <c r="Y44" i="1"/>
  <c r="W45" i="1"/>
  <c r="X45" i="1"/>
  <c r="Y45" i="1"/>
  <c r="W46" i="1"/>
  <c r="Z46" i="1" s="1"/>
  <c r="X46" i="1"/>
  <c r="Y46" i="1"/>
  <c r="W47" i="1"/>
  <c r="X47" i="1"/>
  <c r="Y47" i="1"/>
  <c r="W48" i="1"/>
  <c r="X48" i="1"/>
  <c r="Y48" i="1"/>
  <c r="W49" i="1"/>
  <c r="Z49" i="1" s="1"/>
  <c r="X49" i="1"/>
  <c r="Y49" i="1"/>
  <c r="W50" i="1"/>
  <c r="Z50" i="1" s="1"/>
  <c r="X50" i="1"/>
  <c r="Y50" i="1"/>
  <c r="W51" i="1"/>
  <c r="X51" i="1"/>
  <c r="Y51" i="1"/>
  <c r="W52" i="1"/>
  <c r="X52" i="1"/>
  <c r="Y52" i="1"/>
  <c r="X3" i="1"/>
  <c r="Z3" i="1" s="1"/>
  <c r="W3" i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38" i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37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AE52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C13" i="1"/>
  <c r="AE13" i="1" s="1"/>
  <c r="D12" i="1"/>
  <c r="D13" i="1" s="1"/>
  <c r="C12" i="1"/>
  <c r="D11" i="1"/>
  <c r="C11" i="1"/>
  <c r="AE11" i="1" s="1"/>
  <c r="D10" i="1"/>
  <c r="C10" i="1"/>
  <c r="D7" i="1"/>
  <c r="D8" i="1" s="1"/>
  <c r="D9" i="1" s="1"/>
  <c r="D6" i="1"/>
  <c r="C6" i="1"/>
  <c r="C7" i="1" s="1"/>
  <c r="D2" i="1"/>
  <c r="D3" i="1" s="1"/>
  <c r="D4" i="1" s="1"/>
  <c r="D5" i="1" s="1"/>
  <c r="C2" i="1"/>
  <c r="C3" i="1" s="1"/>
  <c r="C17" i="1" l="1"/>
  <c r="AG6" i="1"/>
  <c r="AF5" i="1"/>
  <c r="C4" i="1"/>
  <c r="AE3" i="1"/>
  <c r="AH3" i="1" s="1"/>
  <c r="C8" i="1"/>
  <c r="AE7" i="1"/>
  <c r="AH7" i="1" s="1"/>
  <c r="AD48" i="1"/>
  <c r="AD40" i="1"/>
  <c r="AD32" i="1"/>
  <c r="AD24" i="1"/>
  <c r="AD16" i="1"/>
  <c r="AD8" i="1"/>
  <c r="AE46" i="1"/>
  <c r="AH46" i="1" s="1"/>
  <c r="C53" i="1"/>
  <c r="AD81" i="1"/>
  <c r="AD79" i="1"/>
  <c r="AD77" i="1"/>
  <c r="AD66" i="1"/>
  <c r="AD45" i="1"/>
  <c r="AD37" i="1"/>
  <c r="AD29" i="1"/>
  <c r="AD21" i="1"/>
  <c r="AD13" i="1"/>
  <c r="AH13" i="1" s="1"/>
  <c r="AD5" i="1"/>
  <c r="AF4" i="1"/>
  <c r="AE45" i="1"/>
  <c r="AH45" i="1" s="1"/>
  <c r="AD88" i="1"/>
  <c r="AD75" i="1"/>
  <c r="AD56" i="1"/>
  <c r="AE44" i="1"/>
  <c r="AH44" i="1" s="1"/>
  <c r="AD99" i="1"/>
  <c r="AD90" i="1"/>
  <c r="AD73" i="1"/>
  <c r="AD71" i="1"/>
  <c r="AD58" i="1"/>
  <c r="AD53" i="1"/>
  <c r="AD47" i="1"/>
  <c r="AD39" i="1"/>
  <c r="AD31" i="1"/>
  <c r="AD23" i="1"/>
  <c r="AD15" i="1"/>
  <c r="AD7" i="1"/>
  <c r="AE43" i="1"/>
  <c r="AD97" i="1"/>
  <c r="AD80" i="1"/>
  <c r="AD69" i="1"/>
  <c r="AD67" i="1"/>
  <c r="Z52" i="1"/>
  <c r="AD52" i="1"/>
  <c r="AH52" i="1" s="1"/>
  <c r="AD44" i="1"/>
  <c r="AD36" i="1"/>
  <c r="AD28" i="1"/>
  <c r="AD20" i="1"/>
  <c r="AD12" i="1"/>
  <c r="AD4" i="1"/>
  <c r="AE50" i="1"/>
  <c r="AH50" i="1" s="1"/>
  <c r="AE42" i="1"/>
  <c r="AH42" i="1" s="1"/>
  <c r="AD93" i="1"/>
  <c r="AD82" i="1"/>
  <c r="AD65" i="1"/>
  <c r="AD63" i="1"/>
  <c r="AD54" i="1"/>
  <c r="AE49" i="1"/>
  <c r="AH49" i="1" s="1"/>
  <c r="AE41" i="1"/>
  <c r="AH41" i="1" s="1"/>
  <c r="AD91" i="1"/>
  <c r="AD72" i="1"/>
  <c r="AD61" i="1"/>
  <c r="AD59" i="1"/>
  <c r="AE48" i="1"/>
  <c r="AH48" i="1" s="1"/>
  <c r="AE40" i="1"/>
  <c r="AH40" i="1" s="1"/>
  <c r="AD96" i="1"/>
  <c r="AD89" i="1"/>
  <c r="AD87" i="1"/>
  <c r="AD85" i="1"/>
  <c r="AD74" i="1"/>
  <c r="AD57" i="1"/>
  <c r="AD51" i="1"/>
  <c r="AD43" i="1"/>
  <c r="AD35" i="1"/>
  <c r="AD27" i="1"/>
  <c r="AD19" i="1"/>
  <c r="AD11" i="1"/>
  <c r="AE39" i="1"/>
  <c r="AD98" i="1"/>
  <c r="AD83" i="1"/>
  <c r="AD64" i="1"/>
  <c r="AD55" i="1"/>
  <c r="Z11" i="1"/>
  <c r="AH11" i="1" s="1"/>
  <c r="Z5" i="1"/>
  <c r="AH39" i="1" l="1"/>
  <c r="AH43" i="1"/>
  <c r="C5" i="1"/>
  <c r="AE5" i="1" s="1"/>
  <c r="AH5" i="1" s="1"/>
  <c r="AE4" i="1"/>
  <c r="AH4" i="1" s="1"/>
  <c r="C54" i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AE53" i="1"/>
  <c r="AH53" i="1" s="1"/>
  <c r="AG7" i="1"/>
  <c r="AF6" i="1"/>
  <c r="C9" i="1"/>
  <c r="C18" i="1"/>
  <c r="C19" i="1" l="1"/>
  <c r="C20" i="1" s="1"/>
  <c r="AG8" i="1"/>
  <c r="AF7" i="1"/>
  <c r="AG9" i="1" l="1"/>
  <c r="AF8" i="1"/>
  <c r="AE8" i="1" s="1"/>
  <c r="AH8" i="1" s="1"/>
  <c r="C21" i="1"/>
  <c r="AE20" i="1"/>
  <c r="AH20" i="1" s="1"/>
  <c r="C22" i="1" l="1"/>
  <c r="C23" i="1" s="1"/>
  <c r="AG10" i="1"/>
  <c r="AF9" i="1"/>
  <c r="AE9" i="1" s="1"/>
  <c r="AH9" i="1" s="1"/>
  <c r="AG11" i="1" l="1"/>
  <c r="AF10" i="1"/>
  <c r="C24" i="1"/>
  <c r="C25" i="1" l="1"/>
  <c r="AE24" i="1"/>
  <c r="AH24" i="1" s="1"/>
  <c r="AG12" i="1"/>
  <c r="AF11" i="1"/>
  <c r="AG13" i="1" l="1"/>
  <c r="AF12" i="1"/>
  <c r="C26" i="1"/>
  <c r="C27" i="1" l="1"/>
  <c r="AG14" i="1"/>
  <c r="AF13" i="1"/>
  <c r="AG15" i="1" l="1"/>
  <c r="AF14" i="1"/>
  <c r="C28" i="1"/>
  <c r="C29" i="1" l="1"/>
  <c r="AG16" i="1"/>
  <c r="AF15" i="1"/>
  <c r="AG17" i="1" l="1"/>
  <c r="AF16" i="1"/>
  <c r="AE16" i="1" s="1"/>
  <c r="AH16" i="1" s="1"/>
  <c r="C30" i="1"/>
  <c r="C31" i="1" l="1"/>
  <c r="C32" i="1" s="1"/>
  <c r="AG18" i="1"/>
  <c r="AF17" i="1"/>
  <c r="AE17" i="1" s="1"/>
  <c r="AH17" i="1" s="1"/>
  <c r="AG19" i="1" l="1"/>
  <c r="AF18" i="1"/>
  <c r="AE18" i="1" s="1"/>
  <c r="AH18" i="1" s="1"/>
  <c r="C33" i="1"/>
  <c r="C34" i="1" l="1"/>
  <c r="AE33" i="1"/>
  <c r="AH33" i="1" s="1"/>
  <c r="AG20" i="1"/>
  <c r="AF19" i="1"/>
  <c r="AG21" i="1" l="1"/>
  <c r="AF20" i="1"/>
  <c r="C35" i="1"/>
  <c r="AE34" i="1"/>
  <c r="AH34" i="1" s="1"/>
  <c r="C36" i="1" l="1"/>
  <c r="AE36" i="1" s="1"/>
  <c r="AH36" i="1" s="1"/>
  <c r="AE35" i="1"/>
  <c r="AH35" i="1" s="1"/>
  <c r="AG22" i="1"/>
  <c r="AF21" i="1"/>
  <c r="AE21" i="1" s="1"/>
  <c r="AH21" i="1" s="1"/>
  <c r="AG23" i="1" l="1"/>
  <c r="AF22" i="1"/>
  <c r="AG24" i="1" l="1"/>
  <c r="AF23" i="1"/>
  <c r="AE23" i="1" s="1"/>
  <c r="AH23" i="1" s="1"/>
  <c r="AG25" i="1" l="1"/>
  <c r="AF24" i="1"/>
  <c r="AG26" i="1" l="1"/>
  <c r="AF25" i="1"/>
  <c r="AE25" i="1" s="1"/>
  <c r="AH25" i="1" s="1"/>
  <c r="AG27" i="1" l="1"/>
  <c r="AF26" i="1"/>
  <c r="AE26" i="1" s="1"/>
  <c r="AH26" i="1" s="1"/>
  <c r="AG28" i="1" l="1"/>
  <c r="AF27" i="1"/>
  <c r="AE27" i="1" s="1"/>
  <c r="AH27" i="1" s="1"/>
  <c r="AG29" i="1" l="1"/>
  <c r="AF28" i="1"/>
  <c r="AE28" i="1" s="1"/>
  <c r="AH28" i="1" s="1"/>
  <c r="AG30" i="1" l="1"/>
  <c r="AF29" i="1"/>
  <c r="AE29" i="1" s="1"/>
  <c r="AH29" i="1" s="1"/>
  <c r="AG31" i="1" l="1"/>
  <c r="AF30" i="1"/>
  <c r="AE30" i="1" s="1"/>
  <c r="AH30" i="1" s="1"/>
  <c r="AG32" i="1" l="1"/>
  <c r="AF31" i="1"/>
  <c r="AG33" i="1" l="1"/>
  <c r="AF32" i="1"/>
  <c r="AE32" i="1" s="1"/>
  <c r="AH32" i="1" s="1"/>
  <c r="AG34" i="1" l="1"/>
  <c r="AF33" i="1"/>
  <c r="AG35" i="1" l="1"/>
  <c r="AF34" i="1"/>
  <c r="AG36" i="1" l="1"/>
  <c r="AF35" i="1"/>
  <c r="AG37" i="1" l="1"/>
  <c r="AF36" i="1"/>
  <c r="AG38" i="1" l="1"/>
  <c r="AF37" i="1"/>
  <c r="AG39" i="1" l="1"/>
  <c r="AF38" i="1"/>
  <c r="AG40" i="1" l="1"/>
  <c r="AF39" i="1"/>
  <c r="AG41" i="1" l="1"/>
  <c r="AF40" i="1"/>
  <c r="AG42" i="1" l="1"/>
  <c r="AF41" i="1"/>
  <c r="AG43" i="1" l="1"/>
  <c r="AF42" i="1"/>
  <c r="AG44" i="1" l="1"/>
  <c r="AF43" i="1"/>
  <c r="AG45" i="1" l="1"/>
  <c r="AF44" i="1"/>
  <c r="AG46" i="1" l="1"/>
  <c r="AF45" i="1"/>
  <c r="AG47" i="1" l="1"/>
  <c r="AF46" i="1"/>
  <c r="AG48" i="1" l="1"/>
  <c r="AF47" i="1"/>
  <c r="AE47" i="1" s="1"/>
  <c r="AH47" i="1" s="1"/>
  <c r="AG49" i="1" l="1"/>
  <c r="AF48" i="1"/>
  <c r="AG50" i="1" l="1"/>
  <c r="AF49" i="1"/>
  <c r="AG51" i="1" l="1"/>
  <c r="AF50" i="1"/>
  <c r="AG52" i="1" l="1"/>
  <c r="AF51" i="1"/>
  <c r="AG53" i="1" l="1"/>
  <c r="AF52" i="1"/>
  <c r="AF53" i="1" l="1"/>
  <c r="AG54" i="1"/>
  <c r="AG55" i="1" l="1"/>
  <c r="AF54" i="1"/>
  <c r="AF55" i="1" l="1"/>
  <c r="AG56" i="1"/>
  <c r="AG57" i="1" l="1"/>
  <c r="AF56" i="1"/>
  <c r="AF57" i="1" l="1"/>
  <c r="AG58" i="1"/>
  <c r="AF58" i="1" l="1"/>
  <c r="AG59" i="1"/>
  <c r="AF59" i="1" l="1"/>
  <c r="AG60" i="1"/>
  <c r="AF60" i="1" l="1"/>
  <c r="AG61" i="1"/>
  <c r="AG62" i="1" l="1"/>
  <c r="AF61" i="1"/>
  <c r="AF62" i="1" l="1"/>
  <c r="AG63" i="1"/>
  <c r="AF63" i="1" l="1"/>
  <c r="AG64" i="1"/>
  <c r="AF64" i="1" l="1"/>
  <c r="AG65" i="1"/>
  <c r="AG66" i="1" l="1"/>
  <c r="AF65" i="1"/>
  <c r="AF66" i="1" l="1"/>
  <c r="AG67" i="1"/>
  <c r="AG68" i="1" l="1"/>
  <c r="AF67" i="1"/>
  <c r="AG69" i="1" l="1"/>
  <c r="AF68" i="1"/>
  <c r="AG70" i="1" l="1"/>
  <c r="AF69" i="1"/>
  <c r="AF70" i="1" l="1"/>
  <c r="AG71" i="1"/>
  <c r="AF71" i="1" l="1"/>
  <c r="AG72" i="1"/>
  <c r="AF72" i="1" l="1"/>
  <c r="AG73" i="1"/>
  <c r="AF73" i="1" l="1"/>
  <c r="AG74" i="1"/>
  <c r="AF74" i="1" l="1"/>
  <c r="AG75" i="1"/>
  <c r="AF75" i="1" l="1"/>
  <c r="AG76" i="1"/>
  <c r="AF76" i="1" l="1"/>
  <c r="AG77" i="1"/>
  <c r="AF77" i="1" l="1"/>
  <c r="AG78" i="1"/>
  <c r="AF78" i="1" l="1"/>
  <c r="AG79" i="1"/>
  <c r="AF79" i="1" l="1"/>
  <c r="AG80" i="1"/>
  <c r="AF80" i="1" l="1"/>
  <c r="AG81" i="1"/>
  <c r="AG82" i="1" l="1"/>
  <c r="AF81" i="1"/>
  <c r="AF82" i="1" l="1"/>
  <c r="AG83" i="1"/>
  <c r="AF83" i="1" l="1"/>
  <c r="AG84" i="1"/>
  <c r="AF84" i="1" l="1"/>
  <c r="AG85" i="1"/>
  <c r="AF85" i="1" l="1"/>
  <c r="AG86" i="1"/>
  <c r="AF86" i="1" l="1"/>
  <c r="AG87" i="1"/>
  <c r="AG88" i="1" l="1"/>
  <c r="AF87" i="1"/>
  <c r="AG89" i="1" l="1"/>
  <c r="AF88" i="1"/>
  <c r="AF89" i="1" l="1"/>
  <c r="AG90" i="1"/>
  <c r="AF90" i="1" l="1"/>
  <c r="AG91" i="1"/>
  <c r="AF91" i="1" l="1"/>
  <c r="AG92" i="1"/>
  <c r="AF92" i="1" l="1"/>
  <c r="AG93" i="1"/>
  <c r="AF93" i="1" l="1"/>
  <c r="AG94" i="1"/>
  <c r="AG95" i="1" l="1"/>
  <c r="AF94" i="1"/>
  <c r="AF95" i="1" l="1"/>
  <c r="AG96" i="1"/>
  <c r="AF96" i="1" l="1"/>
  <c r="AG97" i="1"/>
  <c r="AF97" i="1" l="1"/>
  <c r="AG98" i="1"/>
  <c r="AF98" i="1" l="1"/>
  <c r="AG99" i="1"/>
  <c r="AF99" i="1" s="1"/>
</calcChain>
</file>

<file path=xl/sharedStrings.xml><?xml version="1.0" encoding="utf-8"?>
<sst xmlns="http://schemas.openxmlformats.org/spreadsheetml/2006/main" count="334" uniqueCount="175">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</sst>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7"/>
  <sheetViews>
    <sheetView tabSelected="1" topLeftCell="W21" workbookViewId="0">
      <pane xSplit="11325" ySplit="6240" topLeftCell="AS49" activePane="topRight"/>
      <selection activeCell="Z3" sqref="Z3"/>
      <selection pane="topRight" activeCell="AT25" sqref="AT25"/>
      <selection pane="bottomLeft" activeCell="O56" sqref="O56"/>
      <selection pane="bottomRight" activeCell="AH55" sqref="AH55"/>
    </sheetView>
  </sheetViews>
  <sheetFormatPr defaultColWidth="17.140625" defaultRowHeight="12.75" customHeight="1" x14ac:dyDescent="0.2"/>
  <cols>
    <col min="1" max="2" width="17.140625" style="2"/>
    <col min="3" max="4" width="3.85546875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</cols>
  <sheetData>
    <row r="1" spans="1:47" ht="14.25" customHeight="1" x14ac:dyDescent="0.2">
      <c r="A1" s="2" t="s">
        <v>0</v>
      </c>
      <c r="F1" s="12" t="s">
        <v>1</v>
      </c>
      <c r="G1" s="12"/>
      <c r="H1" s="12"/>
      <c r="I1" s="12"/>
      <c r="J1" s="12" t="s">
        <v>156</v>
      </c>
      <c r="K1" s="12"/>
      <c r="L1" s="12"/>
      <c r="M1" s="12"/>
      <c r="N1" s="12" t="s">
        <v>2</v>
      </c>
      <c r="O1" s="12"/>
      <c r="P1" s="12"/>
      <c r="Q1" s="12" t="s">
        <v>157</v>
      </c>
      <c r="R1" s="12"/>
      <c r="S1" s="12"/>
      <c r="T1" s="2" t="s">
        <v>3</v>
      </c>
      <c r="U1" s="2" t="s">
        <v>4</v>
      </c>
      <c r="AH1" t="s">
        <v>164</v>
      </c>
      <c r="AS1" t="s">
        <v>165</v>
      </c>
      <c r="AT1" t="s">
        <v>166</v>
      </c>
      <c r="AU1" t="s">
        <v>168</v>
      </c>
    </row>
    <row r="2" spans="1:4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4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</row>
    <row r="4" spans="1:4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53" si="3">"["&amp;IF(RIGHT(F4,5)="(opt)","optional('"&amp;LEFT(F4,LEN(F4)-5)&amp;"')",IF(ISBLANK(F4),"","required('"&amp;F4&amp;"')"))</f>
        <v>[required('Cond')</v>
      </c>
      <c r="W4" s="9" t="str">
        <f t="shared" ref="W4:W52" si="4">IF(RIGHT(G4,5)="(opt)",", optional('"&amp;LEFT(G4, LEN(G4)-5)&amp;"')",IF(ISBLANK(G4),"",", required('"&amp;G4&amp;"')"))</f>
        <v>, required('A')</v>
      </c>
      <c r="X4" s="9" t="str">
        <f t="shared" ref="X4:X52" si="5">IF(RIGHT(H4,5)="(opt)",", optional('"&amp;LEFT(H4, LEN(H4)-5)&amp;"')",IF(ISBLANK(H4),"",", required('"&amp;H4&amp;"')"))</f>
        <v>, required('B')</v>
      </c>
      <c r="Y4" s="9" t="str">
        <f t="shared" ref="Y4:Y52" si="6">IF(RIGHT(I4,5)="(opt)",", optional('"&amp;LEFT(I4, LEN(I4)-5)&amp;"')",IF(ISBLANK(I4),"",", required('"&amp;I4&amp;"')"))</f>
        <v/>
      </c>
      <c r="Z4" t="str">
        <f t="shared" ref="Z4:Z66" si="7">V4&amp;W4&amp;X4&amp;"]"</f>
        <v>[required('Cond'), required('A'), required('B')]</v>
      </c>
      <c r="AA4" s="1" t="str">
        <f t="shared" ref="AA4:AA53" si="8">"["&amp;IF(ISBLANK(N4),"", "'"&amp;N4&amp;"'")</f>
        <v>['O'</v>
      </c>
      <c r="AB4" t="str">
        <f t="shared" ref="AB4:AB52" si="9">IF(ISBLANK(O4),"",", '"&amp;O4&amp;"'")</f>
        <v/>
      </c>
      <c r="AC4" t="str">
        <f t="shared" ref="AC4:AC52" si="10">IF(ISBLANK(P4),"",", '"&amp;P4&amp;"'")</f>
        <v/>
      </c>
      <c r="AD4" t="str">
        <f t="shared" ref="AD4:AD52" si="11">AA4&amp;AB4&amp;AC4&amp;"]"</f>
        <v>['O']</v>
      </c>
      <c r="AE4" t="str">
        <f t="shared" ref="AE4:AE5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66" si="13">"visual_style"&amp;AG4</f>
        <v>visual_style0</v>
      </c>
      <c r="AG4">
        <f>IF(ISBLANK(U3),AG3,AG3+1)</f>
        <v>0</v>
      </c>
      <c r="AH4" t="str">
        <f t="shared" ref="AH4:AH53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53" si="15">IF(ISBLANK(J4),"[","["&amp;J4)</f>
        <v>[string</v>
      </c>
      <c r="AJ4" t="str">
        <f t="shared" ref="AJ4:AJ53" si="16">IF(ISBLANK(K4), "", ", "&amp;K4)</f>
        <v>, object</v>
      </c>
      <c r="AK4" t="str">
        <f t="shared" ref="AK4:AK53" si="17">IF(ISBLANK(L4), "", ", "&amp;L4)</f>
        <v>, object</v>
      </c>
      <c r="AL4" s="11" t="str">
        <f t="shared" ref="AL4:AL53" si="18">IF(ISBLANK(M4), "", ", "&amp;M4)</f>
        <v/>
      </c>
      <c r="AM4" t="str">
        <f t="shared" ref="AM4:AM53" si="19">IF(ISBLANK(Q4),"[","["&amp;Q4)</f>
        <v>[object</v>
      </c>
      <c r="AN4" t="str">
        <f t="shared" ref="AN4:AN53" si="20">IF(ISBLANK(R4), "", ", "&amp;R4)</f>
        <v/>
      </c>
      <c r="AO4" s="11" t="str">
        <f t="shared" ref="AO4:AO53" si="21">IF(ISBLANK(S4), "", ", "&amp;S4)</f>
        <v/>
      </c>
      <c r="AP4" t="str">
        <f t="shared" ref="AP4:AP53" si="22">AI4&amp;AJ4&amp;AK4&amp;AL4&amp;"]"</f>
        <v>[string, object, object]</v>
      </c>
      <c r="AQ4" t="str">
        <f t="shared" ref="AQ4:AQ53" si="23">AM4&amp;AN4&amp;AO4&amp;"]"</f>
        <v>[object]</v>
      </c>
      <c r="AT4" t="s">
        <v>167</v>
      </c>
    </row>
    <row r="5" spans="1:4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52" si="24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</row>
    <row r="6" spans="1:4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4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</row>
    <row r="7" spans="1:4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4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</row>
    <row r="8" spans="1:4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4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</row>
    <row r="9" spans="1:4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4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</row>
    <row r="10" spans="1:4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4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</row>
    <row r="11" spans="1:4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4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</row>
    <row r="12" spans="1:4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4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</row>
    <row r="13" spans="1:4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4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</row>
    <row r="14" spans="1:4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4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</row>
    <row r="15" spans="1:4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4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</row>
    <row r="16" spans="1:4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4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</row>
    <row r="17" spans="2:45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4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</row>
    <row r="18" spans="2:45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4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</row>
    <row r="19" spans="2:45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4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</row>
    <row r="20" spans="2:45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4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</row>
    <row r="21" spans="2:45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4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</row>
    <row r="22" spans="2:45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4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</row>
    <row r="23" spans="2:45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4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</row>
    <row r="24" spans="2:45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4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</v>
      </c>
      <c r="AN24" t="str">
        <f t="shared" si="20"/>
        <v/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[]</v>
      </c>
      <c r="AS24">
        <v>1</v>
      </c>
    </row>
    <row r="25" spans="2:45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4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</v>
      </c>
      <c r="AN25" t="str">
        <f t="shared" si="20"/>
        <v/>
      </c>
      <c r="AO25" s="11" t="str">
        <f t="shared" si="21"/>
        <v/>
      </c>
      <c r="AP25" t="str">
        <f t="shared" si="22"/>
        <v>[]</v>
      </c>
      <c r="AQ25" t="str">
        <f t="shared" si="23"/>
        <v>[]</v>
      </c>
      <c r="AS25">
        <v>1</v>
      </c>
    </row>
    <row r="26" spans="2:45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4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</row>
    <row r="27" spans="2:45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4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</row>
    <row r="28" spans="2:45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4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</row>
    <row r="29" spans="2:45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4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</row>
    <row r="30" spans="2:45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4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</row>
    <row r="31" spans="2:45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4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</row>
    <row r="32" spans="2:45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4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</row>
    <row r="33" spans="1:46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4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</row>
    <row r="34" spans="1:46" ht="14.25" customHeight="1" x14ac:dyDescent="0.2">
      <c r="C34" s="1" t="str">
        <f t="shared" ref="C34:C52" si="25">IF(ISBLANK(A34),C33,A34)</f>
        <v>I/O</v>
      </c>
      <c r="D34" s="1" t="str">
        <f t="shared" ref="D34:D52" si="26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4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</row>
    <row r="35" spans="1:46" ht="14.25" customHeight="1" x14ac:dyDescent="0.2">
      <c r="C35" s="1" t="str">
        <f t="shared" si="25"/>
        <v>I/O</v>
      </c>
      <c r="D35" s="1" t="str">
        <f t="shared" si="26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4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</row>
    <row r="36" spans="1:46" ht="14.25" customHeight="1" x14ac:dyDescent="0.2">
      <c r="C36" s="1" t="str">
        <f t="shared" si="25"/>
        <v>I/O</v>
      </c>
      <c r="D36" s="1" t="str">
        <f t="shared" si="26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4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</row>
    <row r="37" spans="1:46" ht="14.25" customHeight="1" x14ac:dyDescent="0.2">
      <c r="A37" s="2" t="s">
        <v>89</v>
      </c>
      <c r="C37" s="1" t="str">
        <f t="shared" si="25"/>
        <v>CV</v>
      </c>
      <c r="D37" s="1" t="str">
        <f t="shared" si="26"/>
        <v>CV</v>
      </c>
      <c r="I37" s="3"/>
      <c r="J37" s="10"/>
      <c r="K37" s="10"/>
      <c r="L37" s="10"/>
      <c r="M37" s="10"/>
      <c r="N37" s="4"/>
      <c r="V37" s="9" t="str">
        <f t="shared" si="3"/>
        <v>[</v>
      </c>
      <c r="W37" s="9" t="str">
        <f t="shared" si="4"/>
        <v/>
      </c>
      <c r="X37" s="9" t="str">
        <f t="shared" si="5"/>
        <v/>
      </c>
      <c r="Y37" s="9" t="str">
        <f t="shared" si="6"/>
        <v/>
      </c>
      <c r="Z37" t="str">
        <f t="shared" si="7"/>
        <v>[]</v>
      </c>
      <c r="AA37" s="1" t="str">
        <f t="shared" si="8"/>
        <v>[</v>
      </c>
      <c r="AB37" t="str">
        <f t="shared" si="9"/>
        <v/>
      </c>
      <c r="AC37" t="str">
        <f t="shared" si="10"/>
        <v/>
      </c>
      <c r="AD37" t="str">
        <f t="shared" si="11"/>
        <v>[]</v>
      </c>
      <c r="AE37" t="str">
        <f t="shared" si="12"/>
        <v/>
      </c>
      <c r="AF37" t="str">
        <f t="shared" si="13"/>
        <v>visual_style14</v>
      </c>
      <c r="AG37">
        <f t="shared" si="24"/>
        <v>14</v>
      </c>
      <c r="AH37" t="str">
        <f t="shared" si="14"/>
        <v/>
      </c>
      <c r="AI37" t="str">
        <f t="shared" si="15"/>
        <v>[</v>
      </c>
      <c r="AJ37" t="str">
        <f t="shared" si="16"/>
        <v/>
      </c>
      <c r="AK37" t="str">
        <f t="shared" si="17"/>
        <v/>
      </c>
      <c r="AL37" s="11" t="str">
        <f t="shared" si="18"/>
        <v/>
      </c>
      <c r="AM37" t="str">
        <f t="shared" si="19"/>
        <v>[</v>
      </c>
      <c r="AN37" t="str">
        <f t="shared" si="20"/>
        <v/>
      </c>
      <c r="AO37" s="11" t="str">
        <f t="shared" si="21"/>
        <v/>
      </c>
      <c r="AP37" t="str">
        <f t="shared" si="22"/>
        <v>[]</v>
      </c>
      <c r="AQ37" t="str">
        <f t="shared" si="23"/>
        <v>[]</v>
      </c>
    </row>
    <row r="38" spans="1:46" ht="14.25" customHeight="1" x14ac:dyDescent="0.2">
      <c r="B38" s="2" t="s">
        <v>90</v>
      </c>
      <c r="C38" s="1" t="str">
        <f t="shared" si="25"/>
        <v>CV</v>
      </c>
      <c r="D38" s="1" t="str">
        <f t="shared" si="26"/>
        <v>Image Processing</v>
      </c>
      <c r="I38" s="3"/>
      <c r="J38" s="10"/>
      <c r="K38" s="10"/>
      <c r="L38" s="10"/>
      <c r="M38" s="10"/>
      <c r="N38" s="4"/>
      <c r="V38" s="9" t="str">
        <f t="shared" si="3"/>
        <v>[</v>
      </c>
      <c r="W38" s="9" t="str">
        <f t="shared" si="4"/>
        <v/>
      </c>
      <c r="X38" s="9" t="str">
        <f t="shared" si="5"/>
        <v/>
      </c>
      <c r="Y38" s="9" t="str">
        <f t="shared" si="6"/>
        <v/>
      </c>
      <c r="Z38" t="str">
        <f t="shared" si="7"/>
        <v>[]</v>
      </c>
      <c r="AA38" s="1" t="str">
        <f t="shared" si="8"/>
        <v>[</v>
      </c>
      <c r="AB38" t="str">
        <f t="shared" si="9"/>
        <v/>
      </c>
      <c r="AC38" t="str">
        <f t="shared" si="10"/>
        <v/>
      </c>
      <c r="AD38" t="str">
        <f t="shared" si="11"/>
        <v>[]</v>
      </c>
      <c r="AE38" t="str">
        <f t="shared" si="12"/>
        <v/>
      </c>
      <c r="AF38" t="str">
        <f t="shared" si="13"/>
        <v>visual_style14</v>
      </c>
      <c r="AG38">
        <f t="shared" si="24"/>
        <v>14</v>
      </c>
      <c r="AH38" t="str">
        <f t="shared" si="14"/>
        <v/>
      </c>
      <c r="AI38" t="str">
        <f t="shared" si="15"/>
        <v>[</v>
      </c>
      <c r="AJ38" t="str">
        <f t="shared" si="16"/>
        <v/>
      </c>
      <c r="AK38" t="str">
        <f t="shared" si="17"/>
        <v/>
      </c>
      <c r="AL38" s="11" t="str">
        <f t="shared" si="18"/>
        <v/>
      </c>
      <c r="AM38" t="str">
        <f t="shared" si="19"/>
        <v>[</v>
      </c>
      <c r="AN38" t="str">
        <f t="shared" si="20"/>
        <v/>
      </c>
      <c r="AO38" s="11" t="str">
        <f t="shared" si="21"/>
        <v/>
      </c>
      <c r="AP38" t="str">
        <f t="shared" si="22"/>
        <v>[]</v>
      </c>
      <c r="AQ38" t="str">
        <f t="shared" si="23"/>
        <v>[]</v>
      </c>
    </row>
    <row r="39" spans="1:46" ht="14.25" customHeight="1" x14ac:dyDescent="0.2">
      <c r="C39" s="1" t="str">
        <f t="shared" si="25"/>
        <v>CV</v>
      </c>
      <c r="D39" s="1" t="str">
        <f t="shared" si="26"/>
        <v>Image Processing</v>
      </c>
      <c r="E39" s="2" t="s">
        <v>91</v>
      </c>
      <c r="I39" s="3"/>
      <c r="J39" s="10"/>
      <c r="K39" s="10"/>
      <c r="L39" s="10"/>
      <c r="M39" s="10"/>
      <c r="N39" s="4" t="s">
        <v>10</v>
      </c>
      <c r="Q39" s="2" t="s">
        <v>137</v>
      </c>
      <c r="T39" s="2" t="s">
        <v>92</v>
      </c>
      <c r="V39" s="9" t="str">
        <f t="shared" si="3"/>
        <v>[</v>
      </c>
      <c r="W39" s="9" t="str">
        <f t="shared" si="4"/>
        <v/>
      </c>
      <c r="X39" s="9" t="str">
        <f t="shared" si="5"/>
        <v/>
      </c>
      <c r="Y39" s="9" t="str">
        <f t="shared" si="6"/>
        <v/>
      </c>
      <c r="Z39" t="str">
        <f t="shared" si="7"/>
        <v>[]</v>
      </c>
      <c r="AA39" s="1" t="str">
        <f t="shared" si="8"/>
        <v>['O'</v>
      </c>
      <c r="AB39" t="str">
        <f t="shared" si="9"/>
        <v/>
      </c>
      <c r="AC39" t="str">
        <f t="shared" si="10"/>
        <v/>
      </c>
      <c r="AD39" t="str">
        <f t="shared" si="11"/>
        <v>['O']</v>
      </c>
      <c r="AE39" t="str">
        <f t="shared" si="12"/>
        <v>section(black, 'CV').&lt;&gt;subsection(black, 'Image Processing').&lt;&gt;description(black, 'outputs a solid black frame the camera size').&lt;&gt;visual_style(black,  normal</v>
      </c>
      <c r="AF39" t="str">
        <f t="shared" si="13"/>
        <v>visual_style14</v>
      </c>
      <c r="AG39">
        <f t="shared" si="24"/>
        <v>14</v>
      </c>
      <c r="AH3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39" t="str">
        <f t="shared" si="15"/>
        <v>[</v>
      </c>
      <c r="AJ39" t="str">
        <f t="shared" si="16"/>
        <v/>
      </c>
      <c r="AK39" t="str">
        <f t="shared" si="17"/>
        <v/>
      </c>
      <c r="AL39" s="11" t="str">
        <f t="shared" si="18"/>
        <v/>
      </c>
      <c r="AM39" t="str">
        <f t="shared" si="19"/>
        <v>[mask</v>
      </c>
      <c r="AN39" t="str">
        <f t="shared" si="20"/>
        <v/>
      </c>
      <c r="AO39" s="11" t="str">
        <f t="shared" si="21"/>
        <v/>
      </c>
      <c r="AP39" t="str">
        <f t="shared" si="22"/>
        <v>[]</v>
      </c>
      <c r="AQ39" t="str">
        <f t="shared" si="23"/>
        <v>[mask]</v>
      </c>
      <c r="AT39" t="s">
        <v>171</v>
      </c>
    </row>
    <row r="40" spans="1:46" ht="14.25" customHeight="1" x14ac:dyDescent="0.2">
      <c r="C40" s="1" t="str">
        <f t="shared" si="25"/>
        <v>CV</v>
      </c>
      <c r="D40" s="1" t="str">
        <f t="shared" si="26"/>
        <v>Image Processing</v>
      </c>
      <c r="E40" s="2" t="s">
        <v>93</v>
      </c>
      <c r="I40" s="3"/>
      <c r="J40" s="10"/>
      <c r="K40" s="10"/>
      <c r="L40" s="10"/>
      <c r="M40" s="10"/>
      <c r="N40" s="4" t="s">
        <v>10</v>
      </c>
      <c r="Q40" s="2" t="s">
        <v>137</v>
      </c>
      <c r="T40" s="2" t="s">
        <v>94</v>
      </c>
      <c r="V40" s="9" t="str">
        <f t="shared" si="3"/>
        <v>[</v>
      </c>
      <c r="W40" s="9" t="str">
        <f t="shared" si="4"/>
        <v/>
      </c>
      <c r="X40" s="9" t="str">
        <f t="shared" si="5"/>
        <v/>
      </c>
      <c r="Y40" s="9" t="str">
        <f t="shared" si="6"/>
        <v/>
      </c>
      <c r="Z40" t="str">
        <f t="shared" si="7"/>
        <v>[]</v>
      </c>
      <c r="AA40" s="1" t="str">
        <f t="shared" si="8"/>
        <v>['O'</v>
      </c>
      <c r="AB40" t="str">
        <f t="shared" si="9"/>
        <v/>
      </c>
      <c r="AC40" t="str">
        <f t="shared" si="10"/>
        <v/>
      </c>
      <c r="AD40" t="str">
        <f t="shared" si="11"/>
        <v>['O']</v>
      </c>
      <c r="AE40" t="str">
        <f t="shared" si="12"/>
        <v>section(white, 'CV').&lt;&gt;subsection(white, 'Image Processing').&lt;&gt;description(white, 'outputs a solid white frame the camera size').&lt;&gt;visual_style(white,  normal</v>
      </c>
      <c r="AF40" t="str">
        <f t="shared" si="13"/>
        <v>visual_style14</v>
      </c>
      <c r="AG40">
        <f t="shared" si="24"/>
        <v>14</v>
      </c>
      <c r="AH4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40" t="str">
        <f t="shared" si="15"/>
        <v>[</v>
      </c>
      <c r="AJ40" t="str">
        <f t="shared" si="16"/>
        <v/>
      </c>
      <c r="AK40" t="str">
        <f t="shared" si="17"/>
        <v/>
      </c>
      <c r="AL40" s="11" t="str">
        <f t="shared" si="18"/>
        <v/>
      </c>
      <c r="AM40" t="str">
        <f t="shared" si="19"/>
        <v>[mask</v>
      </c>
      <c r="AN40" t="str">
        <f t="shared" si="20"/>
        <v/>
      </c>
      <c r="AO40" s="11" t="str">
        <f t="shared" si="21"/>
        <v/>
      </c>
      <c r="AP40" t="str">
        <f t="shared" si="22"/>
        <v>[]</v>
      </c>
      <c r="AQ40" t="str">
        <f t="shared" si="23"/>
        <v>[mask]</v>
      </c>
      <c r="AT40" t="s">
        <v>172</v>
      </c>
    </row>
    <row r="41" spans="1:46" ht="14.25" customHeight="1" x14ac:dyDescent="0.2">
      <c r="C41" s="1" t="str">
        <f t="shared" si="25"/>
        <v>CV</v>
      </c>
      <c r="D41" s="1" t="str">
        <f t="shared" si="26"/>
        <v>Image Processing</v>
      </c>
      <c r="E41" s="2" t="s">
        <v>95</v>
      </c>
      <c r="F41" s="2" t="s">
        <v>8</v>
      </c>
      <c r="G41" s="2" t="s">
        <v>96</v>
      </c>
      <c r="I41" s="3"/>
      <c r="J41" s="10" t="s">
        <v>136</v>
      </c>
      <c r="K41" s="10" t="s">
        <v>37</v>
      </c>
      <c r="L41" s="10"/>
      <c r="M41" s="10"/>
      <c r="N41" s="4" t="s">
        <v>10</v>
      </c>
      <c r="Q41" s="2" t="s">
        <v>137</v>
      </c>
      <c r="T41" s="2" t="s">
        <v>97</v>
      </c>
      <c r="V41" s="9" t="str">
        <f t="shared" si="3"/>
        <v>[required('A')</v>
      </c>
      <c r="W41" s="9" t="str">
        <f t="shared" si="4"/>
        <v>, required('Thresh')</v>
      </c>
      <c r="X41" s="9" t="str">
        <f t="shared" si="5"/>
        <v/>
      </c>
      <c r="Y41" s="9" t="str">
        <f t="shared" si="6"/>
        <v/>
      </c>
      <c r="Z41" t="str">
        <f t="shared" si="7"/>
        <v>[required('A'), required('Thresh')]</v>
      </c>
      <c r="AA41" s="1" t="str">
        <f t="shared" si="8"/>
        <v>['O'</v>
      </c>
      <c r="AB41" t="str">
        <f t="shared" si="9"/>
        <v/>
      </c>
      <c r="AC41" t="str">
        <f t="shared" si="10"/>
        <v/>
      </c>
      <c r="AD41" t="str">
        <f t="shared" si="11"/>
        <v>['O']</v>
      </c>
      <c r="AE4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41" t="str">
        <f t="shared" si="13"/>
        <v>visual_style14</v>
      </c>
      <c r="AG41">
        <f t="shared" si="24"/>
        <v>14</v>
      </c>
      <c r="AH4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41" t="str">
        <f t="shared" si="15"/>
        <v>[image</v>
      </c>
      <c r="AJ41" t="str">
        <f t="shared" si="16"/>
        <v>, proportion</v>
      </c>
      <c r="AK41" t="str">
        <f t="shared" si="17"/>
        <v/>
      </c>
      <c r="AL41" s="11" t="str">
        <f t="shared" si="18"/>
        <v/>
      </c>
      <c r="AM41" t="str">
        <f t="shared" si="19"/>
        <v>[mask</v>
      </c>
      <c r="AN41" t="str">
        <f t="shared" si="20"/>
        <v/>
      </c>
      <c r="AO41" s="11" t="str">
        <f t="shared" si="21"/>
        <v/>
      </c>
      <c r="AP41" t="str">
        <f t="shared" si="22"/>
        <v>[image, proportion]</v>
      </c>
      <c r="AQ41" t="str">
        <f t="shared" si="23"/>
        <v>[mask]</v>
      </c>
      <c r="AT41" t="s">
        <v>173</v>
      </c>
    </row>
    <row r="42" spans="1:46" ht="14.25" customHeight="1" x14ac:dyDescent="0.2">
      <c r="C42" s="1" t="e">
        <f>IF(ISBLANK(A42),#REF!,A42)</f>
        <v>#REF!</v>
      </c>
      <c r="D42" s="1" t="e">
        <f>IF(NOT(ISBLANK(B42)), B42, IF(ISBLANK(A42),#REF!, A42))</f>
        <v>#REF!</v>
      </c>
      <c r="E42" s="2" t="s">
        <v>98</v>
      </c>
      <c r="F42" s="2" t="s">
        <v>8</v>
      </c>
      <c r="I42" s="3"/>
      <c r="J42" s="10" t="s">
        <v>136</v>
      </c>
      <c r="K42" s="10"/>
      <c r="L42" s="10"/>
      <c r="M42" s="10"/>
      <c r="N42" s="4" t="s">
        <v>10</v>
      </c>
      <c r="Q42" s="2" t="s">
        <v>98</v>
      </c>
      <c r="T42" s="2" t="s">
        <v>99</v>
      </c>
      <c r="V42" s="9" t="str">
        <f t="shared" si="3"/>
        <v>[required('A')</v>
      </c>
      <c r="W42" s="9" t="str">
        <f t="shared" si="4"/>
        <v/>
      </c>
      <c r="X42" s="9" t="str">
        <f t="shared" si="5"/>
        <v/>
      </c>
      <c r="Y42" s="9" t="str">
        <f t="shared" si="6"/>
        <v/>
      </c>
      <c r="Z42" t="str">
        <f t="shared" si="7"/>
        <v>[required('A')]</v>
      </c>
      <c r="AA42" s="1" t="str">
        <f t="shared" si="8"/>
        <v>['O'</v>
      </c>
      <c r="AB42" t="str">
        <f t="shared" si="9"/>
        <v/>
      </c>
      <c r="AC42" t="str">
        <f t="shared" si="10"/>
        <v/>
      </c>
      <c r="AD42" t="str">
        <f t="shared" si="11"/>
        <v>['O']</v>
      </c>
      <c r="AE42" t="e">
        <f t="shared" si="12"/>
        <v>#REF!</v>
      </c>
      <c r="AF42" t="e">
        <f t="shared" si="13"/>
        <v>#REF!</v>
      </c>
      <c r="AG42" t="e">
        <f>IF(ISBLANK(#REF!),#REF!,#REF!+1)</f>
        <v>#REF!</v>
      </c>
      <c r="AH42" t="e">
        <f t="shared" si="14"/>
        <v>#REF!</v>
      </c>
      <c r="AI42" t="str">
        <f t="shared" si="15"/>
        <v>[image</v>
      </c>
      <c r="AJ42" t="str">
        <f t="shared" si="16"/>
        <v/>
      </c>
      <c r="AK42" t="str">
        <f t="shared" si="17"/>
        <v/>
      </c>
      <c r="AL42" s="11" t="str">
        <f t="shared" si="18"/>
        <v/>
      </c>
      <c r="AM42" t="str">
        <f t="shared" si="19"/>
        <v>[gray</v>
      </c>
      <c r="AN42" t="str">
        <f t="shared" si="20"/>
        <v/>
      </c>
      <c r="AO42" s="11" t="str">
        <f t="shared" si="21"/>
        <v/>
      </c>
      <c r="AP42" t="str">
        <f t="shared" si="22"/>
        <v>[image]</v>
      </c>
      <c r="AQ42" t="str">
        <f t="shared" si="23"/>
        <v>[gray]</v>
      </c>
      <c r="AT42" t="s">
        <v>174</v>
      </c>
    </row>
    <row r="43" spans="1:46" ht="14.25" customHeight="1" x14ac:dyDescent="0.2">
      <c r="C43" s="1" t="e">
        <f t="shared" si="25"/>
        <v>#REF!</v>
      </c>
      <c r="D43" s="1" t="e">
        <f t="shared" si="26"/>
        <v>#REF!</v>
      </c>
      <c r="E43" s="2" t="s">
        <v>100</v>
      </c>
      <c r="F43" s="2" t="s">
        <v>8</v>
      </c>
      <c r="I43" s="3"/>
      <c r="J43" s="10" t="s">
        <v>136</v>
      </c>
      <c r="K43" s="10"/>
      <c r="L43" s="10"/>
      <c r="M43" s="10"/>
      <c r="N43" s="4" t="s">
        <v>10</v>
      </c>
      <c r="Q43" s="2" t="s">
        <v>100</v>
      </c>
      <c r="T43" s="2" t="s">
        <v>101</v>
      </c>
      <c r="V43" s="9" t="str">
        <f t="shared" si="3"/>
        <v>[required('A')</v>
      </c>
      <c r="W43" s="9" t="str">
        <f t="shared" si="4"/>
        <v/>
      </c>
      <c r="X43" s="9" t="str">
        <f t="shared" si="5"/>
        <v/>
      </c>
      <c r="Y43" s="9" t="str">
        <f t="shared" si="6"/>
        <v/>
      </c>
      <c r="Z43" t="str">
        <f t="shared" si="7"/>
        <v>[required('A')]</v>
      </c>
      <c r="AA43" s="1" t="str">
        <f t="shared" si="8"/>
        <v>['O'</v>
      </c>
      <c r="AB43" t="str">
        <f t="shared" si="9"/>
        <v/>
      </c>
      <c r="AC43" t="str">
        <f t="shared" si="10"/>
        <v/>
      </c>
      <c r="AD43" t="str">
        <f t="shared" si="11"/>
        <v>['O']</v>
      </c>
      <c r="AE43" t="e">
        <f t="shared" si="12"/>
        <v>#REF!</v>
      </c>
      <c r="AF43" t="e">
        <f t="shared" si="13"/>
        <v>#REF!</v>
      </c>
      <c r="AG43" t="e">
        <f t="shared" si="24"/>
        <v>#REF!</v>
      </c>
      <c r="AH43" t="e">
        <f t="shared" si="14"/>
        <v>#REF!</v>
      </c>
      <c r="AI43" t="str">
        <f t="shared" si="15"/>
        <v>[image</v>
      </c>
      <c r="AJ43" t="str">
        <f t="shared" si="16"/>
        <v/>
      </c>
      <c r="AK43" t="str">
        <f t="shared" si="17"/>
        <v/>
      </c>
      <c r="AL43" s="11" t="str">
        <f t="shared" si="18"/>
        <v/>
      </c>
      <c r="AM43" t="str">
        <f t="shared" si="19"/>
        <v>[hdr</v>
      </c>
      <c r="AN43" t="str">
        <f t="shared" si="20"/>
        <v/>
      </c>
      <c r="AO43" s="11" t="str">
        <f t="shared" si="21"/>
        <v/>
      </c>
      <c r="AP43" t="str">
        <f t="shared" si="22"/>
        <v>[image]</v>
      </c>
      <c r="AQ43" t="str">
        <f t="shared" si="23"/>
        <v>[hdr]</v>
      </c>
    </row>
    <row r="44" spans="1:46" ht="14.25" customHeight="1" x14ac:dyDescent="0.2">
      <c r="C44" s="1" t="e">
        <f t="shared" si="25"/>
        <v>#REF!</v>
      </c>
      <c r="D44" s="1" t="e">
        <f t="shared" si="26"/>
        <v>#REF!</v>
      </c>
      <c r="E44" s="2" t="s">
        <v>102</v>
      </c>
      <c r="F44" s="2" t="s">
        <v>8</v>
      </c>
      <c r="I44" s="3"/>
      <c r="J44" s="10" t="s">
        <v>100</v>
      </c>
      <c r="K44" s="10"/>
      <c r="L44" s="10"/>
      <c r="M44" s="10"/>
      <c r="N44" s="4" t="s">
        <v>10</v>
      </c>
      <c r="Q44" s="2" t="s">
        <v>136</v>
      </c>
      <c r="T44" s="2" t="s">
        <v>103</v>
      </c>
      <c r="V44" s="9" t="str">
        <f t="shared" si="3"/>
        <v>[required('A')</v>
      </c>
      <c r="W44" s="9" t="str">
        <f t="shared" si="4"/>
        <v/>
      </c>
      <c r="X44" s="9" t="str">
        <f t="shared" si="5"/>
        <v/>
      </c>
      <c r="Y44" s="9" t="str">
        <f t="shared" si="6"/>
        <v/>
      </c>
      <c r="Z44" t="str">
        <f t="shared" si="7"/>
        <v>[required('A')]</v>
      </c>
      <c r="AA44" s="1" t="str">
        <f t="shared" si="8"/>
        <v>['O'</v>
      </c>
      <c r="AB44" t="str">
        <f t="shared" si="9"/>
        <v/>
      </c>
      <c r="AC44" t="str">
        <f t="shared" si="10"/>
        <v/>
      </c>
      <c r="AD44" t="str">
        <f t="shared" si="11"/>
        <v>['O']</v>
      </c>
      <c r="AE44" t="e">
        <f t="shared" si="12"/>
        <v>#REF!</v>
      </c>
      <c r="AF44" t="e">
        <f t="shared" si="13"/>
        <v>#REF!</v>
      </c>
      <c r="AG44" t="e">
        <f t="shared" si="24"/>
        <v>#REF!</v>
      </c>
      <c r="AH44" t="e">
        <f t="shared" si="14"/>
        <v>#REF!</v>
      </c>
      <c r="AI44" t="str">
        <f t="shared" si="15"/>
        <v>[hdr</v>
      </c>
      <c r="AJ44" t="str">
        <f t="shared" si="16"/>
        <v/>
      </c>
      <c r="AK44" t="str">
        <f t="shared" si="17"/>
        <v/>
      </c>
      <c r="AL44" s="11" t="str">
        <f t="shared" si="18"/>
        <v/>
      </c>
      <c r="AM44" t="str">
        <f t="shared" si="19"/>
        <v>[image</v>
      </c>
      <c r="AN44" t="str">
        <f t="shared" si="20"/>
        <v/>
      </c>
      <c r="AO44" s="11" t="str">
        <f t="shared" si="21"/>
        <v/>
      </c>
      <c r="AP44" t="str">
        <f t="shared" si="22"/>
        <v>[hdr]</v>
      </c>
      <c r="AQ44" t="str">
        <f t="shared" si="23"/>
        <v>[image]</v>
      </c>
    </row>
    <row r="45" spans="1:46" ht="14.25" customHeight="1" x14ac:dyDescent="0.2">
      <c r="C45" s="1" t="e">
        <f t="shared" si="25"/>
        <v>#REF!</v>
      </c>
      <c r="D45" s="1" t="e">
        <f t="shared" si="26"/>
        <v>#REF!</v>
      </c>
      <c r="E45" s="2" t="s">
        <v>104</v>
      </c>
      <c r="F45" s="2" t="s">
        <v>105</v>
      </c>
      <c r="G45" s="2" t="s">
        <v>106</v>
      </c>
      <c r="H45" s="2" t="s">
        <v>9</v>
      </c>
      <c r="I45" s="3" t="s">
        <v>107</v>
      </c>
      <c r="J45" s="10" t="s">
        <v>98</v>
      </c>
      <c r="K45" s="10" t="s">
        <v>98</v>
      </c>
      <c r="L45" s="10" t="s">
        <v>98</v>
      </c>
      <c r="M45" s="10" t="s">
        <v>98</v>
      </c>
      <c r="N45" s="4" t="s">
        <v>10</v>
      </c>
      <c r="Q45" s="2" t="s">
        <v>136</v>
      </c>
      <c r="T45" s="2" t="s">
        <v>108</v>
      </c>
      <c r="V45" s="9" t="str">
        <f t="shared" si="3"/>
        <v>[required('R')</v>
      </c>
      <c r="W45" s="9" t="str">
        <f t="shared" si="4"/>
        <v>, required('G')</v>
      </c>
      <c r="X45" s="9" t="str">
        <f t="shared" si="5"/>
        <v>, required('B')</v>
      </c>
      <c r="Y45" s="9" t="str">
        <f t="shared" si="6"/>
        <v>, optional('A')</v>
      </c>
      <c r="Z45" t="str">
        <f t="shared" si="7"/>
        <v>[required('R'), required('G'), required('B')]</v>
      </c>
      <c r="AA45" s="1" t="str">
        <f t="shared" si="8"/>
        <v>['O'</v>
      </c>
      <c r="AB45" t="str">
        <f t="shared" si="9"/>
        <v/>
      </c>
      <c r="AC45" t="str">
        <f t="shared" si="10"/>
        <v/>
      </c>
      <c r="AD45" t="str">
        <f t="shared" si="11"/>
        <v>['O']</v>
      </c>
      <c r="AE45" t="e">
        <f t="shared" si="12"/>
        <v>#REF!</v>
      </c>
      <c r="AF45" t="e">
        <f t="shared" si="13"/>
        <v>#REF!</v>
      </c>
      <c r="AG45" t="e">
        <f t="shared" si="24"/>
        <v>#REF!</v>
      </c>
      <c r="AH45" t="e">
        <f t="shared" si="14"/>
        <v>#REF!</v>
      </c>
      <c r="AI45" t="str">
        <f t="shared" si="15"/>
        <v>[gray</v>
      </c>
      <c r="AJ45" t="str">
        <f t="shared" si="16"/>
        <v>, gray</v>
      </c>
      <c r="AK45" t="str">
        <f t="shared" si="17"/>
        <v>, gray</v>
      </c>
      <c r="AL45" s="11" t="str">
        <f t="shared" si="18"/>
        <v>, gray</v>
      </c>
      <c r="AM45" t="str">
        <f t="shared" si="19"/>
        <v>[image</v>
      </c>
      <c r="AN45" t="str">
        <f t="shared" si="20"/>
        <v/>
      </c>
      <c r="AO45" s="11" t="str">
        <f t="shared" si="21"/>
        <v/>
      </c>
      <c r="AP45" t="str">
        <f t="shared" si="22"/>
        <v>[gray, gray, gray, gray]</v>
      </c>
      <c r="AQ45" t="str">
        <f t="shared" si="23"/>
        <v>[image]</v>
      </c>
    </row>
    <row r="46" spans="1:46" ht="14.25" customHeight="1" x14ac:dyDescent="0.2">
      <c r="C46" s="1" t="e">
        <f t="shared" si="25"/>
        <v>#REF!</v>
      </c>
      <c r="D46" s="1" t="e">
        <f t="shared" si="26"/>
        <v>#REF!</v>
      </c>
      <c r="E46" s="2" t="s">
        <v>109</v>
      </c>
      <c r="F46" s="2" t="s">
        <v>8</v>
      </c>
      <c r="I46" s="3"/>
      <c r="J46" s="10" t="s">
        <v>139</v>
      </c>
      <c r="K46" s="10"/>
      <c r="L46" s="10"/>
      <c r="M46" s="10"/>
      <c r="N46" s="4" t="s">
        <v>105</v>
      </c>
      <c r="O46" s="2" t="s">
        <v>106</v>
      </c>
      <c r="P46" s="3" t="s">
        <v>9</v>
      </c>
      <c r="Q46" s="2" t="s">
        <v>98</v>
      </c>
      <c r="R46" s="2" t="s">
        <v>98</v>
      </c>
      <c r="S46" s="2" t="s">
        <v>98</v>
      </c>
      <c r="T46" s="2" t="s">
        <v>110</v>
      </c>
      <c r="V46" s="9" t="str">
        <f t="shared" si="3"/>
        <v>[required('A')</v>
      </c>
      <c r="W46" s="9" t="str">
        <f t="shared" si="4"/>
        <v/>
      </c>
      <c r="X46" s="9" t="str">
        <f t="shared" si="5"/>
        <v/>
      </c>
      <c r="Y46" s="9" t="str">
        <f t="shared" si="6"/>
        <v/>
      </c>
      <c r="Z46" t="str">
        <f t="shared" si="7"/>
        <v>[required('A')]</v>
      </c>
      <c r="AA46" s="1" t="str">
        <f t="shared" si="8"/>
        <v>['R'</v>
      </c>
      <c r="AB46" t="str">
        <f t="shared" si="9"/>
        <v>, 'G'</v>
      </c>
      <c r="AC46" t="str">
        <f t="shared" si="10"/>
        <v>, 'B'</v>
      </c>
      <c r="AD46" t="str">
        <f t="shared" si="11"/>
        <v>['R', 'G', 'B']</v>
      </c>
      <c r="AE46" t="e">
        <f t="shared" si="12"/>
        <v>#REF!</v>
      </c>
      <c r="AF46" t="e">
        <f t="shared" si="13"/>
        <v>#REF!</v>
      </c>
      <c r="AG46" t="e">
        <f t="shared" si="24"/>
        <v>#REF!</v>
      </c>
      <c r="AH46" t="e">
        <f t="shared" si="14"/>
        <v>#REF!</v>
      </c>
      <c r="AI46" t="str">
        <f t="shared" si="15"/>
        <v>[rgb</v>
      </c>
      <c r="AJ46" t="str">
        <f t="shared" si="16"/>
        <v/>
      </c>
      <c r="AK46" t="str">
        <f t="shared" si="17"/>
        <v/>
      </c>
      <c r="AL46" s="11" t="str">
        <f t="shared" si="18"/>
        <v/>
      </c>
      <c r="AM46" t="str">
        <f t="shared" si="19"/>
        <v>[gray</v>
      </c>
      <c r="AN46" t="str">
        <f t="shared" si="20"/>
        <v>, gray</v>
      </c>
      <c r="AO46" s="11" t="str">
        <f t="shared" si="21"/>
        <v>, gray</v>
      </c>
      <c r="AP46" t="str">
        <f t="shared" si="22"/>
        <v>[rgb]</v>
      </c>
      <c r="AQ46" t="str">
        <f t="shared" si="23"/>
        <v>[gray, gray, gray]</v>
      </c>
    </row>
    <row r="47" spans="1:46" ht="14.25" customHeight="1" x14ac:dyDescent="0.2">
      <c r="C47" s="1" t="e">
        <f t="shared" si="25"/>
        <v>#REF!</v>
      </c>
      <c r="D47" s="1" t="e">
        <f t="shared" si="26"/>
        <v>#REF!</v>
      </c>
      <c r="E47" s="2" t="s">
        <v>111</v>
      </c>
      <c r="F47" s="2" t="s">
        <v>8</v>
      </c>
      <c r="G47" s="2" t="s">
        <v>112</v>
      </c>
      <c r="I47" s="3"/>
      <c r="J47" s="10" t="s">
        <v>136</v>
      </c>
      <c r="K47" s="10" t="s">
        <v>137</v>
      </c>
      <c r="L47" s="10"/>
      <c r="M47" s="10"/>
      <c r="N47" s="4" t="s">
        <v>10</v>
      </c>
      <c r="Q47" s="2" t="s">
        <v>136</v>
      </c>
      <c r="T47" s="2" t="s">
        <v>113</v>
      </c>
      <c r="U47" s="2" t="s">
        <v>114</v>
      </c>
      <c r="V47" s="9" t="str">
        <f t="shared" si="3"/>
        <v>[required('A')</v>
      </c>
      <c r="W47" s="9" t="str">
        <f t="shared" si="4"/>
        <v>, optional('M')</v>
      </c>
      <c r="X47" s="9" t="str">
        <f t="shared" si="5"/>
        <v/>
      </c>
      <c r="Y47" s="9" t="str">
        <f t="shared" si="6"/>
        <v/>
      </c>
      <c r="Z47" t="str">
        <f t="shared" si="7"/>
        <v>[required('A'), optional('M')]</v>
      </c>
      <c r="AA47" s="1" t="str">
        <f t="shared" si="8"/>
        <v>['O'</v>
      </c>
      <c r="AB47" t="str">
        <f t="shared" si="9"/>
        <v/>
      </c>
      <c r="AC47" t="str">
        <f t="shared" si="10"/>
        <v/>
      </c>
      <c r="AD47" t="str">
        <f t="shared" si="11"/>
        <v>['O']</v>
      </c>
      <c r="AE47" t="e">
        <f t="shared" si="12"/>
        <v>#REF!</v>
      </c>
      <c r="AF47" t="e">
        <f t="shared" si="13"/>
        <v>#REF!</v>
      </c>
      <c r="AG47" t="e">
        <f t="shared" si="24"/>
        <v>#REF!</v>
      </c>
      <c r="AH47" t="e">
        <f t="shared" si="14"/>
        <v>#REF!</v>
      </c>
      <c r="AI47" t="str">
        <f t="shared" si="15"/>
        <v>[image</v>
      </c>
      <c r="AJ47" t="str">
        <f t="shared" si="16"/>
        <v>, mask</v>
      </c>
      <c r="AK47" t="str">
        <f t="shared" si="17"/>
        <v/>
      </c>
      <c r="AL47" s="11" t="str">
        <f t="shared" si="18"/>
        <v/>
      </c>
      <c r="AM47" t="str">
        <f t="shared" si="19"/>
        <v>[image</v>
      </c>
      <c r="AN47" t="str">
        <f t="shared" si="20"/>
        <v/>
      </c>
      <c r="AO47" s="11" t="str">
        <f t="shared" si="21"/>
        <v/>
      </c>
      <c r="AP47" t="str">
        <f t="shared" si="22"/>
        <v>[image, mask]</v>
      </c>
      <c r="AQ47" t="str">
        <f t="shared" si="23"/>
        <v>[image]</v>
      </c>
    </row>
    <row r="48" spans="1:46" ht="14.25" customHeight="1" x14ac:dyDescent="0.2">
      <c r="C48" s="1" t="e">
        <f t="shared" si="25"/>
        <v>#REF!</v>
      </c>
      <c r="D48" s="1" t="e">
        <f t="shared" si="26"/>
        <v>#REF!</v>
      </c>
      <c r="E48" s="2" t="s">
        <v>115</v>
      </c>
      <c r="F48" s="2" t="s">
        <v>8</v>
      </c>
      <c r="G48" s="2" t="s">
        <v>116</v>
      </c>
      <c r="H48" s="2" t="s">
        <v>117</v>
      </c>
      <c r="I48" s="3"/>
      <c r="J48" s="10" t="s">
        <v>136</v>
      </c>
      <c r="K48" s="10" t="s">
        <v>37</v>
      </c>
      <c r="L48" s="10" t="s">
        <v>128</v>
      </c>
      <c r="M48" s="10"/>
      <c r="N48" s="4" t="s">
        <v>10</v>
      </c>
      <c r="Q48" s="2" t="s">
        <v>136</v>
      </c>
      <c r="T48" s="2" t="s">
        <v>118</v>
      </c>
      <c r="V48" s="9" t="str">
        <f t="shared" si="3"/>
        <v>[required('A')</v>
      </c>
      <c r="W48" s="9" t="str">
        <f t="shared" si="4"/>
        <v>, required('Prop')</v>
      </c>
      <c r="X48" s="9" t="str">
        <f t="shared" si="5"/>
        <v>, required('Block')</v>
      </c>
      <c r="Y48" s="9" t="str">
        <f t="shared" si="6"/>
        <v/>
      </c>
      <c r="Z48" t="str">
        <f t="shared" si="7"/>
        <v>[required('A'), required('Prop'), required('Block')]</v>
      </c>
      <c r="AA48" s="1" t="str">
        <f t="shared" si="8"/>
        <v>['O'</v>
      </c>
      <c r="AB48" t="str">
        <f t="shared" si="9"/>
        <v/>
      </c>
      <c r="AC48" t="str">
        <f t="shared" si="10"/>
        <v/>
      </c>
      <c r="AD48" t="str">
        <f t="shared" si="11"/>
        <v>['O']</v>
      </c>
      <c r="AE48" t="e">
        <f t="shared" si="12"/>
        <v>#REF!</v>
      </c>
      <c r="AF48" t="e">
        <f t="shared" si="13"/>
        <v>#REF!</v>
      </c>
      <c r="AG48" t="e">
        <f t="shared" si="24"/>
        <v>#REF!</v>
      </c>
      <c r="AH48" t="e">
        <f t="shared" si="14"/>
        <v>#REF!</v>
      </c>
      <c r="AI48" t="str">
        <f t="shared" si="15"/>
        <v>[image</v>
      </c>
      <c r="AJ48" t="str">
        <f t="shared" si="16"/>
        <v>, proportion</v>
      </c>
      <c r="AK48" t="str">
        <f t="shared" si="17"/>
        <v>, int</v>
      </c>
      <c r="AL48" s="11" t="str">
        <f t="shared" si="18"/>
        <v/>
      </c>
      <c r="AM48" t="str">
        <f t="shared" si="19"/>
        <v>[image</v>
      </c>
      <c r="AN48" t="str">
        <f t="shared" si="20"/>
        <v/>
      </c>
      <c r="AO48" s="11" t="str">
        <f t="shared" si="21"/>
        <v/>
      </c>
      <c r="AP48" t="str">
        <f t="shared" si="22"/>
        <v>[image, proportion, int]</v>
      </c>
      <c r="AQ48" t="str">
        <f t="shared" si="23"/>
        <v>[image]</v>
      </c>
    </row>
    <row r="49" spans="1:43" ht="14.25" customHeight="1" x14ac:dyDescent="0.2">
      <c r="C49" s="1" t="e">
        <f t="shared" si="25"/>
        <v>#REF!</v>
      </c>
      <c r="D49" s="1" t="e">
        <f t="shared" si="26"/>
        <v>#REF!</v>
      </c>
      <c r="E49" s="2" t="s">
        <v>119</v>
      </c>
      <c r="F49" s="2" t="s">
        <v>8</v>
      </c>
      <c r="G49" s="2" t="s">
        <v>9</v>
      </c>
      <c r="H49" s="2" t="s">
        <v>85</v>
      </c>
      <c r="I49" s="3"/>
      <c r="J49" s="10" t="s">
        <v>136</v>
      </c>
      <c r="K49" s="10" t="s">
        <v>136</v>
      </c>
      <c r="L49" s="10" t="s">
        <v>98</v>
      </c>
      <c r="M49" s="10"/>
      <c r="N49" s="4" t="s">
        <v>10</v>
      </c>
      <c r="Q49" s="2" t="s">
        <v>136</v>
      </c>
      <c r="T49" s="2" t="s">
        <v>120</v>
      </c>
      <c r="V49" s="9" t="str">
        <f t="shared" si="3"/>
        <v>[required('A')</v>
      </c>
      <c r="W49" s="9" t="str">
        <f t="shared" si="4"/>
        <v>, required('B')</v>
      </c>
      <c r="X49" s="9" t="str">
        <f t="shared" si="5"/>
        <v>, required('Mask')</v>
      </c>
      <c r="Y49" s="9" t="str">
        <f t="shared" si="6"/>
        <v/>
      </c>
      <c r="Z49" t="str">
        <f t="shared" si="7"/>
        <v>[required('A'), required('B'), required('Mask')]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e">
        <f t="shared" si="12"/>
        <v>#REF!</v>
      </c>
      <c r="AF49" t="e">
        <f t="shared" si="13"/>
        <v>#REF!</v>
      </c>
      <c r="AG49" t="e">
        <f t="shared" si="24"/>
        <v>#REF!</v>
      </c>
      <c r="AH49" t="e">
        <f t="shared" si="14"/>
        <v>#REF!</v>
      </c>
      <c r="AI49" t="str">
        <f t="shared" si="15"/>
        <v>[image</v>
      </c>
      <c r="AJ49" t="str">
        <f t="shared" si="16"/>
        <v>, image</v>
      </c>
      <c r="AK49" t="str">
        <f t="shared" si="17"/>
        <v>, gray</v>
      </c>
      <c r="AL49" s="11" t="str">
        <f t="shared" si="18"/>
        <v/>
      </c>
      <c r="AM49" t="str">
        <f t="shared" si="19"/>
        <v>[image</v>
      </c>
      <c r="AN49" t="str">
        <f t="shared" si="20"/>
        <v/>
      </c>
      <c r="AO49" s="11" t="str">
        <f t="shared" si="21"/>
        <v/>
      </c>
      <c r="AP49" t="str">
        <f t="shared" si="22"/>
        <v>[image, image, gray]</v>
      </c>
      <c r="AQ49" t="str">
        <f t="shared" si="23"/>
        <v>[image]</v>
      </c>
    </row>
    <row r="50" spans="1:43" ht="14.25" customHeight="1" x14ac:dyDescent="0.2">
      <c r="C50" s="1" t="e">
        <f t="shared" si="25"/>
        <v>#REF!</v>
      </c>
      <c r="D50" s="1" t="e">
        <f t="shared" si="26"/>
        <v>#REF!</v>
      </c>
      <c r="E50" s="2" t="s">
        <v>121</v>
      </c>
      <c r="F50" s="2" t="s">
        <v>8</v>
      </c>
      <c r="G50" s="2" t="s">
        <v>122</v>
      </c>
      <c r="I50" s="3"/>
      <c r="J50" s="10" t="s">
        <v>136</v>
      </c>
      <c r="K50" s="10" t="s">
        <v>74</v>
      </c>
      <c r="L50" s="10"/>
      <c r="M50" s="10"/>
      <c r="N50" s="4" t="s">
        <v>10</v>
      </c>
      <c r="Q50" s="2" t="s">
        <v>136</v>
      </c>
      <c r="V50" s="9" t="str">
        <f t="shared" si="3"/>
        <v>[required('A')</v>
      </c>
      <c r="W50" s="9" t="str">
        <f t="shared" si="4"/>
        <v>, required('Kernal')</v>
      </c>
      <c r="X50" s="9" t="str">
        <f t="shared" si="5"/>
        <v/>
      </c>
      <c r="Y50" s="9" t="str">
        <f t="shared" si="6"/>
        <v/>
      </c>
      <c r="Z50" t="str">
        <f t="shared" si="7"/>
        <v>[required('A'), required('Kernal')]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e">
        <f t="shared" si="12"/>
        <v>#REF!</v>
      </c>
      <c r="AF50" t="e">
        <f t="shared" si="13"/>
        <v>#REF!</v>
      </c>
      <c r="AG50" t="e">
        <f t="shared" si="24"/>
        <v>#REF!</v>
      </c>
      <c r="AH50" t="e">
        <f t="shared" si="14"/>
        <v>#REF!</v>
      </c>
      <c r="AI50" t="str">
        <f t="shared" si="15"/>
        <v>[image</v>
      </c>
      <c r="AJ50" t="str">
        <f t="shared" si="16"/>
        <v>, kernal</v>
      </c>
      <c r="AK50" t="str">
        <f t="shared" si="17"/>
        <v/>
      </c>
      <c r="AL50" s="11" t="str">
        <f t="shared" si="18"/>
        <v/>
      </c>
      <c r="AM50" t="str">
        <f t="shared" si="19"/>
        <v>[image</v>
      </c>
      <c r="AN50" t="str">
        <f t="shared" si="20"/>
        <v/>
      </c>
      <c r="AO50" s="11" t="str">
        <f t="shared" si="21"/>
        <v/>
      </c>
      <c r="AP50" t="str">
        <f t="shared" si="22"/>
        <v>[image, kernal]</v>
      </c>
      <c r="AQ50" t="str">
        <f t="shared" si="23"/>
        <v>[image]</v>
      </c>
    </row>
    <row r="51" spans="1:43" ht="14.25" customHeight="1" x14ac:dyDescent="0.2">
      <c r="B51" s="2" t="s">
        <v>123</v>
      </c>
      <c r="C51" s="1" t="e">
        <f t="shared" si="25"/>
        <v>#REF!</v>
      </c>
      <c r="D51" s="1" t="str">
        <f t="shared" si="26"/>
        <v>FrequencyDomain</v>
      </c>
      <c r="I51" s="3"/>
      <c r="J51" s="10"/>
      <c r="K51" s="10"/>
      <c r="L51" s="10"/>
      <c r="M51" s="10"/>
      <c r="N51" s="4"/>
      <c r="V51" s="9" t="str">
        <f t="shared" si="3"/>
        <v>[</v>
      </c>
      <c r="W51" s="9" t="str">
        <f t="shared" si="4"/>
        <v/>
      </c>
      <c r="X51" s="9" t="str">
        <f t="shared" si="5"/>
        <v/>
      </c>
      <c r="Y51" s="9" t="str">
        <f t="shared" si="6"/>
        <v/>
      </c>
      <c r="Z51" t="str">
        <f t="shared" si="7"/>
        <v>[]</v>
      </c>
      <c r="AA51" s="1" t="str">
        <f t="shared" si="8"/>
        <v>[</v>
      </c>
      <c r="AB51" t="str">
        <f t="shared" si="9"/>
        <v/>
      </c>
      <c r="AC51" t="str">
        <f t="shared" si="10"/>
        <v/>
      </c>
      <c r="AD51" t="str">
        <f t="shared" si="11"/>
        <v>[]</v>
      </c>
      <c r="AE51" t="str">
        <f t="shared" si="12"/>
        <v/>
      </c>
      <c r="AF51" t="e">
        <f t="shared" si="13"/>
        <v>#REF!</v>
      </c>
      <c r="AG51" t="e">
        <f t="shared" si="24"/>
        <v>#REF!</v>
      </c>
      <c r="AH51" t="str">
        <f t="shared" si="14"/>
        <v/>
      </c>
      <c r="AI51" t="str">
        <f t="shared" si="15"/>
        <v>[</v>
      </c>
      <c r="AJ51" t="str">
        <f t="shared" si="16"/>
        <v/>
      </c>
      <c r="AK51" t="str">
        <f t="shared" si="17"/>
        <v/>
      </c>
      <c r="AL51" s="11" t="str">
        <f t="shared" si="18"/>
        <v/>
      </c>
      <c r="AM51" t="str">
        <f t="shared" si="19"/>
        <v>[</v>
      </c>
      <c r="AN51" t="str">
        <f t="shared" si="20"/>
        <v/>
      </c>
      <c r="AO51" s="11" t="str">
        <f t="shared" si="21"/>
        <v/>
      </c>
      <c r="AP51" t="str">
        <f t="shared" si="22"/>
        <v>[]</v>
      </c>
      <c r="AQ51" t="str">
        <f t="shared" si="23"/>
        <v>[]</v>
      </c>
    </row>
    <row r="52" spans="1:43" ht="14.25" customHeight="1" x14ac:dyDescent="0.2">
      <c r="C52" s="1" t="e">
        <f t="shared" si="25"/>
        <v>#REF!</v>
      </c>
      <c r="D52" s="1" t="str">
        <f t="shared" si="26"/>
        <v>FrequencyDomain</v>
      </c>
      <c r="E52" s="2" t="s">
        <v>124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140</v>
      </c>
      <c r="T52" s="2" t="s">
        <v>125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e">
        <f t="shared" si="12"/>
        <v>#REF!</v>
      </c>
      <c r="AF52" t="e">
        <f t="shared" si="13"/>
        <v>#REF!</v>
      </c>
      <c r="AG52" t="e">
        <f t="shared" si="24"/>
        <v>#REF!</v>
      </c>
      <c r="AH52" t="e">
        <f t="shared" si="14"/>
        <v>#REF!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[complex16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[complex16]</v>
      </c>
    </row>
    <row r="53" spans="1:43" s="8" customFormat="1" ht="21.75" customHeight="1" x14ac:dyDescent="0.2">
      <c r="A53" s="5"/>
      <c r="B53" s="5"/>
      <c r="C53" s="1" t="e">
        <f t="shared" ref="C53:C79" si="27">IF(ISBLANK(A53),C52,A53)</f>
        <v>#REF!</v>
      </c>
      <c r="D53" s="1" t="str">
        <f t="shared" ref="D53:D79" si="28">IF(NOT(ISBLANK(B53)), B53, IF(ISBLANK(A53), D52,A53))</f>
        <v>FrequencyDomain</v>
      </c>
      <c r="E53" s="5" t="s">
        <v>152</v>
      </c>
      <c r="F53" s="5" t="s">
        <v>8</v>
      </c>
      <c r="G53" s="5"/>
      <c r="H53" s="5"/>
      <c r="I53" s="6"/>
      <c r="J53" s="5" t="s">
        <v>140</v>
      </c>
      <c r="K53" s="5"/>
      <c r="L53" s="5"/>
      <c r="M53" s="5"/>
      <c r="N53" s="7" t="s">
        <v>10</v>
      </c>
      <c r="O53" s="5"/>
      <c r="P53" s="6"/>
      <c r="Q53" s="5" t="s">
        <v>98</v>
      </c>
      <c r="R53" s="5"/>
      <c r="S53" s="5"/>
      <c r="T53" s="5" t="s">
        <v>153</v>
      </c>
      <c r="U53" s="5"/>
      <c r="V53" s="9" t="str">
        <f t="shared" si="3"/>
        <v>[required('A')</v>
      </c>
      <c r="W53" s="9"/>
      <c r="X53" s="9"/>
      <c r="Y53" s="9"/>
      <c r="Z53" t="str">
        <f t="shared" si="7"/>
        <v>[required('A')]</v>
      </c>
      <c r="AA53" s="8" t="str">
        <f t="shared" si="8"/>
        <v>['O'</v>
      </c>
      <c r="AB53" t="str">
        <f t="shared" ref="AB53:AB99" si="29">IF(ISBLANK(O53),"",", '"&amp;O53&amp;"'")</f>
        <v/>
      </c>
      <c r="AC53" t="str">
        <f t="shared" ref="AC53:AC99" si="30">IF(ISBLANK(P53),"",", '"&amp;P53&amp;"'")</f>
        <v/>
      </c>
      <c r="AD53" t="str">
        <f t="shared" ref="AD53:AD99" si="31">AA53&amp;AB53&amp;AC53&amp;"]"</f>
        <v>['O']</v>
      </c>
      <c r="AE53" t="e">
        <f t="shared" ref="AE53:AE99" si="32">IF(ISBLANK(E53),"","section("&amp;E53&amp;", '"&amp;C53&amp;"').&lt;&gt;subsection("&amp;E53&amp;", '"&amp;D53&amp;"').&lt;&gt;description("&amp;E53&amp;", '"&amp;T53&amp;"').&lt;&gt;visual_style("&amp;E53&amp;",  "&amp;IF(ISBLANK(U53),"normal",AF53))</f>
        <v>#REF!</v>
      </c>
      <c r="AF53" t="e">
        <f t="shared" si="13"/>
        <v>#REF!</v>
      </c>
      <c r="AG53" t="e">
        <f t="shared" ref="AG53:AG99" si="33">IF(ISBLANK(U52),AG52,AG52+1)</f>
        <v>#REF!</v>
      </c>
      <c r="AH53" t="e">
        <f t="shared" si="14"/>
        <v>#REF!</v>
      </c>
      <c r="AI53" t="str">
        <f t="shared" si="15"/>
        <v>[complex16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[gray</v>
      </c>
      <c r="AN53" t="str">
        <f t="shared" si="20"/>
        <v/>
      </c>
      <c r="AO53" s="11" t="str">
        <f t="shared" si="21"/>
        <v/>
      </c>
      <c r="AP53" t="str">
        <f t="shared" si="22"/>
        <v>[complex16]</v>
      </c>
      <c r="AQ53" t="str">
        <f t="shared" si="23"/>
        <v>[gray]</v>
      </c>
    </row>
    <row r="54" spans="1:43" ht="21.75" customHeight="1" x14ac:dyDescent="0.2">
      <c r="C54" s="1" t="e">
        <f t="shared" si="27"/>
        <v>#REF!</v>
      </c>
      <c r="D54" s="1" t="str">
        <f t="shared" si="28"/>
        <v>FrequencyDomain</v>
      </c>
      <c r="I54" s="3"/>
      <c r="J54" s="10"/>
      <c r="K54" s="10"/>
      <c r="L54" s="10"/>
      <c r="M54" s="10"/>
      <c r="N54" s="4"/>
      <c r="V54" s="9" t="str">
        <f t="shared" ref="V54:V99" si="34">"["&amp;IF(RIGHT(F54,5)="(opt)","optional('"&amp;LEFT(F54,LEN(F54)-5)&amp;"')",IF(ISBLANK(F54),"","required('"&amp;F54&amp;"')"))</f>
        <v>[</v>
      </c>
      <c r="Z54" t="str">
        <f t="shared" si="7"/>
        <v>[]</v>
      </c>
      <c r="AA54" s="8" t="str">
        <f t="shared" ref="AA54:AA99" si="35">"["&amp;IF(ISBLANK(N54),"", "'"&amp;N54&amp;"'")</f>
        <v>[</v>
      </c>
      <c r="AB54" t="str">
        <f t="shared" si="29"/>
        <v/>
      </c>
      <c r="AC54" t="str">
        <f t="shared" si="30"/>
        <v/>
      </c>
      <c r="AD54" t="str">
        <f t="shared" si="31"/>
        <v>[]</v>
      </c>
      <c r="AE54" t="str">
        <f t="shared" si="32"/>
        <v/>
      </c>
      <c r="AF54" t="e">
        <f t="shared" si="13"/>
        <v>#REF!</v>
      </c>
      <c r="AG54" t="e">
        <f t="shared" si="33"/>
        <v>#REF!</v>
      </c>
      <c r="AH54" t="str">
        <f t="shared" ref="AH54:AH99" si="36">IF(ISBLANK(E54),"","&lt;&gt;%  ===== "&amp;E54&amp;" ===========&lt;&gt;"&amp;AE54&amp;").&lt;&gt;inputs("&amp;E54&amp;", "&amp;Z54&amp;").&lt;&gt;outputs("&amp;E54&amp;", "&amp;AD54&amp;").")</f>
        <v/>
      </c>
    </row>
    <row r="55" spans="1:43" ht="21.75" customHeight="1" x14ac:dyDescent="0.2">
      <c r="C55" s="1" t="e">
        <f t="shared" si="27"/>
        <v>#REF!</v>
      </c>
      <c r="D55" s="1" t="str">
        <f t="shared" si="28"/>
        <v>FrequencyDomain</v>
      </c>
      <c r="I55" s="3"/>
      <c r="J55" s="10"/>
      <c r="K55" s="10"/>
      <c r="L55" s="10"/>
      <c r="M55" s="10"/>
      <c r="N55" s="4"/>
      <c r="V55" s="9" t="str">
        <f t="shared" si="34"/>
        <v>[</v>
      </c>
      <c r="Z55" t="str">
        <f t="shared" si="7"/>
        <v>[]</v>
      </c>
      <c r="AA55" s="8" t="str">
        <f t="shared" si="35"/>
        <v>[</v>
      </c>
      <c r="AB55" t="str">
        <f t="shared" si="29"/>
        <v/>
      </c>
      <c r="AC55" t="str">
        <f t="shared" si="30"/>
        <v/>
      </c>
      <c r="AD55" t="str">
        <f t="shared" si="31"/>
        <v>[]</v>
      </c>
      <c r="AE55" t="str">
        <f t="shared" si="32"/>
        <v/>
      </c>
      <c r="AF55" t="e">
        <f t="shared" si="13"/>
        <v>#REF!</v>
      </c>
      <c r="AG55" t="e">
        <f t="shared" si="33"/>
        <v>#REF!</v>
      </c>
      <c r="AH55" t="str">
        <f t="shared" si="36"/>
        <v/>
      </c>
    </row>
    <row r="56" spans="1:43" ht="21.75" customHeight="1" x14ac:dyDescent="0.2">
      <c r="C56" s="1" t="e">
        <f t="shared" si="27"/>
        <v>#REF!</v>
      </c>
      <c r="D56" s="1" t="str">
        <f t="shared" si="28"/>
        <v>FrequencyDomain</v>
      </c>
      <c r="I56" s="3"/>
      <c r="J56" s="10"/>
      <c r="K56" s="10"/>
      <c r="L56" s="10"/>
      <c r="M56" s="10"/>
      <c r="N56" s="4"/>
      <c r="V56" s="9" t="str">
        <f t="shared" si="34"/>
        <v>[</v>
      </c>
      <c r="Z56" t="str">
        <f t="shared" si="7"/>
        <v>[]</v>
      </c>
      <c r="AA56" s="8" t="str">
        <f t="shared" si="35"/>
        <v>[</v>
      </c>
      <c r="AB56" t="str">
        <f t="shared" si="29"/>
        <v/>
      </c>
      <c r="AC56" t="str">
        <f t="shared" si="30"/>
        <v/>
      </c>
      <c r="AD56" t="str">
        <f t="shared" si="31"/>
        <v>[]</v>
      </c>
      <c r="AE56" t="str">
        <f t="shared" si="32"/>
        <v/>
      </c>
      <c r="AF56" t="e">
        <f t="shared" si="13"/>
        <v>#REF!</v>
      </c>
      <c r="AG56" t="e">
        <f t="shared" si="33"/>
        <v>#REF!</v>
      </c>
      <c r="AH56" t="str">
        <f t="shared" si="36"/>
        <v/>
      </c>
    </row>
    <row r="57" spans="1:43" ht="21.75" customHeight="1" x14ac:dyDescent="0.2">
      <c r="C57" s="1" t="e">
        <f t="shared" si="27"/>
        <v>#REF!</v>
      </c>
      <c r="D57" s="1" t="str">
        <f t="shared" si="28"/>
        <v>FrequencyDomain</v>
      </c>
      <c r="I57" s="3"/>
      <c r="J57" s="10"/>
      <c r="K57" s="10"/>
      <c r="L57" s="10"/>
      <c r="M57" s="10"/>
      <c r="N57" s="4"/>
      <c r="V57" s="9" t="str">
        <f t="shared" si="34"/>
        <v>[</v>
      </c>
      <c r="Z57" t="str">
        <f t="shared" si="7"/>
        <v>[]</v>
      </c>
      <c r="AA57" s="8" t="str">
        <f t="shared" si="35"/>
        <v>[</v>
      </c>
      <c r="AB57" t="str">
        <f t="shared" si="29"/>
        <v/>
      </c>
      <c r="AC57" t="str">
        <f t="shared" si="30"/>
        <v/>
      </c>
      <c r="AD57" t="str">
        <f t="shared" si="31"/>
        <v>[]</v>
      </c>
      <c r="AE57" t="str">
        <f t="shared" si="32"/>
        <v/>
      </c>
      <c r="AF57" t="e">
        <f t="shared" si="13"/>
        <v>#REF!</v>
      </c>
      <c r="AG57" t="e">
        <f t="shared" si="33"/>
        <v>#REF!</v>
      </c>
      <c r="AH57" t="str">
        <f t="shared" si="36"/>
        <v/>
      </c>
    </row>
    <row r="58" spans="1:43" ht="21.75" customHeight="1" x14ac:dyDescent="0.2">
      <c r="C58" s="1" t="e">
        <f t="shared" si="27"/>
        <v>#REF!</v>
      </c>
      <c r="D58" s="1" t="str">
        <f t="shared" si="28"/>
        <v>FrequencyDomain</v>
      </c>
      <c r="I58" s="3"/>
      <c r="J58" s="10"/>
      <c r="K58" s="10"/>
      <c r="L58" s="10"/>
      <c r="M58" s="10"/>
      <c r="N58" s="4"/>
      <c r="V58" s="9" t="str">
        <f t="shared" si="34"/>
        <v>[</v>
      </c>
      <c r="Z58" t="str">
        <f t="shared" si="7"/>
        <v>[]</v>
      </c>
      <c r="AA58" s="8" t="str">
        <f t="shared" si="35"/>
        <v>[</v>
      </c>
      <c r="AB58" t="str">
        <f t="shared" si="29"/>
        <v/>
      </c>
      <c r="AC58" t="str">
        <f t="shared" si="30"/>
        <v/>
      </c>
      <c r="AD58" t="str">
        <f t="shared" si="31"/>
        <v>[]</v>
      </c>
      <c r="AE58" t="str">
        <f t="shared" si="32"/>
        <v/>
      </c>
      <c r="AF58" t="e">
        <f t="shared" si="13"/>
        <v>#REF!</v>
      </c>
      <c r="AG58" t="e">
        <f t="shared" si="33"/>
        <v>#REF!</v>
      </c>
      <c r="AH58" t="str">
        <f t="shared" si="36"/>
        <v/>
      </c>
    </row>
    <row r="59" spans="1:43" ht="21.75" customHeight="1" x14ac:dyDescent="0.2">
      <c r="C59" s="1" t="e">
        <f t="shared" si="27"/>
        <v>#REF!</v>
      </c>
      <c r="D59" s="1" t="str">
        <f t="shared" si="28"/>
        <v>FrequencyDomain</v>
      </c>
      <c r="I59" s="3"/>
      <c r="J59" s="10"/>
      <c r="K59" s="10"/>
      <c r="L59" s="10"/>
      <c r="M59" s="10"/>
      <c r="N59" s="4"/>
      <c r="V59" s="9" t="str">
        <f t="shared" si="34"/>
        <v>[</v>
      </c>
      <c r="Z59" t="str">
        <f t="shared" si="7"/>
        <v>[]</v>
      </c>
      <c r="AA59" s="8" t="str">
        <f t="shared" si="35"/>
        <v>[</v>
      </c>
      <c r="AB59" t="str">
        <f t="shared" si="29"/>
        <v/>
      </c>
      <c r="AC59" t="str">
        <f t="shared" si="30"/>
        <v/>
      </c>
      <c r="AD59" t="str">
        <f t="shared" si="31"/>
        <v>[]</v>
      </c>
      <c r="AE59" t="str">
        <f t="shared" si="32"/>
        <v/>
      </c>
      <c r="AF59" t="e">
        <f t="shared" si="13"/>
        <v>#REF!</v>
      </c>
      <c r="AG59" t="e">
        <f t="shared" si="33"/>
        <v>#REF!</v>
      </c>
      <c r="AH59" t="str">
        <f t="shared" si="36"/>
        <v/>
      </c>
    </row>
    <row r="60" spans="1:43" ht="21.75" customHeight="1" x14ac:dyDescent="0.2">
      <c r="C60" s="1" t="e">
        <f t="shared" si="27"/>
        <v>#REF!</v>
      </c>
      <c r="D60" s="1" t="str">
        <f t="shared" si="28"/>
        <v>FrequencyDomain</v>
      </c>
      <c r="I60" s="3"/>
      <c r="J60" s="10"/>
      <c r="K60" s="10"/>
      <c r="L60" s="10"/>
      <c r="M60" s="10"/>
      <c r="N60" s="4"/>
      <c r="V60" s="9" t="str">
        <f t="shared" si="34"/>
        <v>[</v>
      </c>
      <c r="Z60" t="str">
        <f t="shared" si="7"/>
        <v>[]</v>
      </c>
      <c r="AA60" s="8" t="str">
        <f t="shared" si="35"/>
        <v>[</v>
      </c>
      <c r="AB60" t="str">
        <f t="shared" si="29"/>
        <v/>
      </c>
      <c r="AC60" t="str">
        <f t="shared" si="30"/>
        <v/>
      </c>
      <c r="AD60" t="str">
        <f t="shared" si="31"/>
        <v>[]</v>
      </c>
      <c r="AE60" t="str">
        <f t="shared" si="32"/>
        <v/>
      </c>
      <c r="AF60" t="e">
        <f t="shared" si="13"/>
        <v>#REF!</v>
      </c>
      <c r="AG60" t="e">
        <f t="shared" si="33"/>
        <v>#REF!</v>
      </c>
      <c r="AH60" t="str">
        <f t="shared" si="36"/>
        <v/>
      </c>
    </row>
    <row r="61" spans="1:43" ht="21.75" customHeight="1" x14ac:dyDescent="0.2">
      <c r="C61" s="1" t="e">
        <f t="shared" si="27"/>
        <v>#REF!</v>
      </c>
      <c r="D61" s="1" t="str">
        <f t="shared" si="28"/>
        <v>FrequencyDomain</v>
      </c>
      <c r="I61" s="3"/>
      <c r="J61" s="10"/>
      <c r="K61" s="10"/>
      <c r="L61" s="10"/>
      <c r="M61" s="10"/>
      <c r="N61" s="4"/>
      <c r="V61" s="9" t="str">
        <f t="shared" si="34"/>
        <v>[</v>
      </c>
      <c r="Z61" t="str">
        <f t="shared" si="7"/>
        <v>[]</v>
      </c>
      <c r="AA61" s="8" t="str">
        <f t="shared" si="35"/>
        <v>[</v>
      </c>
      <c r="AB61" t="str">
        <f t="shared" si="29"/>
        <v/>
      </c>
      <c r="AC61" t="str">
        <f t="shared" si="30"/>
        <v/>
      </c>
      <c r="AD61" t="str">
        <f t="shared" si="31"/>
        <v>[]</v>
      </c>
      <c r="AE61" t="str">
        <f t="shared" si="32"/>
        <v/>
      </c>
      <c r="AF61" t="e">
        <f t="shared" si="13"/>
        <v>#REF!</v>
      </c>
      <c r="AG61" t="e">
        <f t="shared" si="33"/>
        <v>#REF!</v>
      </c>
      <c r="AH61" t="str">
        <f t="shared" si="36"/>
        <v/>
      </c>
    </row>
    <row r="62" spans="1:43" ht="21.75" customHeight="1" x14ac:dyDescent="0.2">
      <c r="C62" s="1" t="e">
        <f t="shared" si="27"/>
        <v>#REF!</v>
      </c>
      <c r="D62" s="1" t="str">
        <f t="shared" si="28"/>
        <v>FrequencyDomain</v>
      </c>
      <c r="I62" s="3"/>
      <c r="J62" s="10"/>
      <c r="K62" s="10"/>
      <c r="L62" s="10"/>
      <c r="M62" s="10"/>
      <c r="N62" s="4"/>
      <c r="V62" s="9" t="str">
        <f t="shared" si="34"/>
        <v>[</v>
      </c>
      <c r="Z62" t="str">
        <f t="shared" si="7"/>
        <v>[]</v>
      </c>
      <c r="AA62" s="8" t="str">
        <f t="shared" si="35"/>
        <v>[</v>
      </c>
      <c r="AB62" t="str">
        <f t="shared" si="29"/>
        <v/>
      </c>
      <c r="AC62" t="str">
        <f t="shared" si="30"/>
        <v/>
      </c>
      <c r="AD62" t="str">
        <f t="shared" si="31"/>
        <v>[]</v>
      </c>
      <c r="AE62" t="str">
        <f t="shared" si="32"/>
        <v/>
      </c>
      <c r="AF62" t="e">
        <f t="shared" si="13"/>
        <v>#REF!</v>
      </c>
      <c r="AG62" t="e">
        <f t="shared" si="33"/>
        <v>#REF!</v>
      </c>
      <c r="AH62" t="str">
        <f t="shared" si="36"/>
        <v/>
      </c>
    </row>
    <row r="63" spans="1:43" ht="21.75" customHeight="1" x14ac:dyDescent="0.2">
      <c r="C63" s="1" t="e">
        <f t="shared" si="27"/>
        <v>#REF!</v>
      </c>
      <c r="D63" s="1" t="str">
        <f t="shared" si="28"/>
        <v>FrequencyDomain</v>
      </c>
      <c r="I63" s="3"/>
      <c r="J63" s="10"/>
      <c r="K63" s="10"/>
      <c r="L63" s="10"/>
      <c r="M63" s="10"/>
      <c r="N63" s="4"/>
      <c r="V63" s="9" t="str">
        <f t="shared" si="34"/>
        <v>[</v>
      </c>
      <c r="Z63" t="str">
        <f t="shared" si="7"/>
        <v>[]</v>
      </c>
      <c r="AA63" s="8" t="str">
        <f t="shared" si="35"/>
        <v>[</v>
      </c>
      <c r="AB63" t="str">
        <f t="shared" si="29"/>
        <v/>
      </c>
      <c r="AC63" t="str">
        <f t="shared" si="30"/>
        <v/>
      </c>
      <c r="AD63" t="str">
        <f t="shared" si="31"/>
        <v>[]</v>
      </c>
      <c r="AE63" t="str">
        <f t="shared" si="32"/>
        <v/>
      </c>
      <c r="AF63" t="e">
        <f t="shared" si="13"/>
        <v>#REF!</v>
      </c>
      <c r="AG63" t="e">
        <f t="shared" si="33"/>
        <v>#REF!</v>
      </c>
      <c r="AH63" t="str">
        <f t="shared" si="36"/>
        <v/>
      </c>
    </row>
    <row r="64" spans="1:43" ht="21.75" customHeight="1" x14ac:dyDescent="0.2">
      <c r="C64" s="1" t="e">
        <f t="shared" si="27"/>
        <v>#REF!</v>
      </c>
      <c r="D64" s="1" t="str">
        <f t="shared" si="28"/>
        <v>FrequencyDomain</v>
      </c>
      <c r="I64" s="3"/>
      <c r="J64" s="10"/>
      <c r="K64" s="10"/>
      <c r="L64" s="10"/>
      <c r="M64" s="10"/>
      <c r="N64" s="4"/>
      <c r="V64" s="9" t="str">
        <f t="shared" si="34"/>
        <v>[</v>
      </c>
      <c r="Z64" t="str">
        <f t="shared" si="7"/>
        <v>[]</v>
      </c>
      <c r="AA64" s="8" t="str">
        <f t="shared" si="35"/>
        <v>[</v>
      </c>
      <c r="AB64" t="str">
        <f t="shared" si="29"/>
        <v/>
      </c>
      <c r="AC64" t="str">
        <f t="shared" si="30"/>
        <v/>
      </c>
      <c r="AD64" t="str">
        <f t="shared" si="31"/>
        <v>[]</v>
      </c>
      <c r="AE64" t="str">
        <f t="shared" si="32"/>
        <v/>
      </c>
      <c r="AF64" t="e">
        <f t="shared" si="13"/>
        <v>#REF!</v>
      </c>
      <c r="AG64" t="e">
        <f t="shared" si="33"/>
        <v>#REF!</v>
      </c>
      <c r="AH64" t="str">
        <f t="shared" si="36"/>
        <v/>
      </c>
    </row>
    <row r="65" spans="3:34" ht="21.75" customHeight="1" x14ac:dyDescent="0.2">
      <c r="C65" s="1" t="e">
        <f t="shared" si="27"/>
        <v>#REF!</v>
      </c>
      <c r="D65" s="1" t="str">
        <f t="shared" si="28"/>
        <v>FrequencyDomain</v>
      </c>
      <c r="I65" s="3"/>
      <c r="J65" s="10"/>
      <c r="K65" s="10"/>
      <c r="L65" s="10"/>
      <c r="M65" s="10"/>
      <c r="N65" s="4"/>
      <c r="V65" s="9" t="str">
        <f t="shared" si="34"/>
        <v>[</v>
      </c>
      <c r="Z65" t="str">
        <f t="shared" si="7"/>
        <v>[]</v>
      </c>
      <c r="AA65" s="8" t="str">
        <f t="shared" si="35"/>
        <v>[</v>
      </c>
      <c r="AB65" t="str">
        <f t="shared" si="29"/>
        <v/>
      </c>
      <c r="AC65" t="str">
        <f t="shared" si="30"/>
        <v/>
      </c>
      <c r="AD65" t="str">
        <f t="shared" si="31"/>
        <v>[]</v>
      </c>
      <c r="AE65" t="str">
        <f t="shared" si="32"/>
        <v/>
      </c>
      <c r="AF65" t="e">
        <f t="shared" si="13"/>
        <v>#REF!</v>
      </c>
      <c r="AG65" t="e">
        <f t="shared" si="33"/>
        <v>#REF!</v>
      </c>
      <c r="AH65" t="str">
        <f t="shared" si="36"/>
        <v/>
      </c>
    </row>
    <row r="66" spans="3:34" ht="21.75" customHeight="1" x14ac:dyDescent="0.2">
      <c r="C66" s="1" t="e">
        <f t="shared" si="27"/>
        <v>#REF!</v>
      </c>
      <c r="D66" s="1" t="str">
        <f t="shared" si="28"/>
        <v>FrequencyDomain</v>
      </c>
      <c r="I66" s="3"/>
      <c r="J66" s="10"/>
      <c r="K66" s="10"/>
      <c r="L66" s="10"/>
      <c r="M66" s="10"/>
      <c r="N66" s="4"/>
      <c r="V66" s="9" t="str">
        <f t="shared" si="34"/>
        <v>[</v>
      </c>
      <c r="Z66" t="str">
        <f t="shared" si="7"/>
        <v>[]</v>
      </c>
      <c r="AA66" s="8" t="str">
        <f t="shared" si="35"/>
        <v>[</v>
      </c>
      <c r="AB66" t="str">
        <f t="shared" si="29"/>
        <v/>
      </c>
      <c r="AC66" t="str">
        <f t="shared" si="30"/>
        <v/>
      </c>
      <c r="AD66" t="str">
        <f t="shared" si="31"/>
        <v>[]</v>
      </c>
      <c r="AE66" t="str">
        <f t="shared" si="32"/>
        <v/>
      </c>
      <c r="AF66" t="e">
        <f t="shared" si="13"/>
        <v>#REF!</v>
      </c>
      <c r="AG66" t="e">
        <f t="shared" si="33"/>
        <v>#REF!</v>
      </c>
      <c r="AH66" t="str">
        <f t="shared" si="36"/>
        <v/>
      </c>
    </row>
    <row r="67" spans="3:34" ht="21.75" customHeight="1" x14ac:dyDescent="0.2">
      <c r="C67" s="1" t="e">
        <f t="shared" si="27"/>
        <v>#REF!</v>
      </c>
      <c r="D67" s="1" t="str">
        <f t="shared" si="28"/>
        <v>FrequencyDomain</v>
      </c>
      <c r="I67" s="3"/>
      <c r="J67" s="10"/>
      <c r="K67" s="10"/>
      <c r="L67" s="10"/>
      <c r="M67" s="10"/>
      <c r="N67" s="4"/>
      <c r="V67" s="9" t="str">
        <f t="shared" si="34"/>
        <v>[</v>
      </c>
      <c r="Z67" t="str">
        <f t="shared" ref="Z67:Z99" si="37">V67&amp;W67&amp;X67&amp;"]"</f>
        <v>[]</v>
      </c>
      <c r="AA67" s="8" t="str">
        <f t="shared" si="35"/>
        <v>[</v>
      </c>
      <c r="AB67" t="str">
        <f t="shared" si="29"/>
        <v/>
      </c>
      <c r="AC67" t="str">
        <f t="shared" si="30"/>
        <v/>
      </c>
      <c r="AD67" t="str">
        <f t="shared" si="31"/>
        <v>[]</v>
      </c>
      <c r="AE67" t="str">
        <f t="shared" si="32"/>
        <v/>
      </c>
      <c r="AF67" t="e">
        <f t="shared" ref="AF67:AF99" si="38">"visual_style"&amp;AG67</f>
        <v>#REF!</v>
      </c>
      <c r="AG67" t="e">
        <f t="shared" si="33"/>
        <v>#REF!</v>
      </c>
      <c r="AH67" t="str">
        <f t="shared" si="36"/>
        <v/>
      </c>
    </row>
    <row r="68" spans="3:34" ht="21.75" customHeight="1" x14ac:dyDescent="0.2">
      <c r="C68" s="1" t="e">
        <f t="shared" si="27"/>
        <v>#REF!</v>
      </c>
      <c r="D68" s="1" t="str">
        <f t="shared" si="28"/>
        <v>FrequencyDomain</v>
      </c>
      <c r="I68" s="3"/>
      <c r="J68" s="10"/>
      <c r="K68" s="10"/>
      <c r="L68" s="10"/>
      <c r="M68" s="10"/>
      <c r="N68" s="4"/>
      <c r="V68" s="9" t="str">
        <f t="shared" si="34"/>
        <v>[</v>
      </c>
      <c r="Z68" t="str">
        <f t="shared" si="37"/>
        <v>[]</v>
      </c>
      <c r="AA68" s="8" t="str">
        <f t="shared" si="35"/>
        <v>[</v>
      </c>
      <c r="AB68" t="str">
        <f t="shared" si="29"/>
        <v/>
      </c>
      <c r="AC68" t="str">
        <f t="shared" si="30"/>
        <v/>
      </c>
      <c r="AD68" t="str">
        <f t="shared" si="31"/>
        <v>[]</v>
      </c>
      <c r="AE68" t="str">
        <f t="shared" si="32"/>
        <v/>
      </c>
      <c r="AF68" t="e">
        <f t="shared" si="38"/>
        <v>#REF!</v>
      </c>
      <c r="AG68" t="e">
        <f t="shared" si="33"/>
        <v>#REF!</v>
      </c>
      <c r="AH68" t="str">
        <f t="shared" si="36"/>
        <v/>
      </c>
    </row>
    <row r="69" spans="3:34" ht="21.75" customHeight="1" x14ac:dyDescent="0.2">
      <c r="C69" s="1" t="e">
        <f t="shared" si="27"/>
        <v>#REF!</v>
      </c>
      <c r="D69" s="1" t="str">
        <f t="shared" si="28"/>
        <v>FrequencyDomain</v>
      </c>
      <c r="I69" s="3"/>
      <c r="J69" s="10"/>
      <c r="K69" s="10"/>
      <c r="L69" s="10"/>
      <c r="M69" s="10"/>
      <c r="N69" s="4"/>
      <c r="V69" s="9" t="str">
        <f t="shared" si="34"/>
        <v>[</v>
      </c>
      <c r="Z69" t="str">
        <f t="shared" si="37"/>
        <v>[]</v>
      </c>
      <c r="AA69" s="8" t="str">
        <f t="shared" si="35"/>
        <v>[</v>
      </c>
      <c r="AB69" t="str">
        <f t="shared" si="29"/>
        <v/>
      </c>
      <c r="AC69" t="str">
        <f t="shared" si="30"/>
        <v/>
      </c>
      <c r="AD69" t="str">
        <f t="shared" si="31"/>
        <v>[]</v>
      </c>
      <c r="AE69" t="str">
        <f t="shared" si="32"/>
        <v/>
      </c>
      <c r="AF69" t="e">
        <f t="shared" si="38"/>
        <v>#REF!</v>
      </c>
      <c r="AG69" t="e">
        <f t="shared" si="33"/>
        <v>#REF!</v>
      </c>
      <c r="AH69" t="str">
        <f t="shared" si="36"/>
        <v/>
      </c>
    </row>
    <row r="70" spans="3:34" ht="21.75" customHeight="1" x14ac:dyDescent="0.2">
      <c r="C70" s="1" t="e">
        <f t="shared" si="27"/>
        <v>#REF!</v>
      </c>
      <c r="D70" s="1" t="str">
        <f t="shared" si="28"/>
        <v>FrequencyDomain</v>
      </c>
      <c r="I70" s="3"/>
      <c r="J70" s="10"/>
      <c r="K70" s="10"/>
      <c r="L70" s="10"/>
      <c r="M70" s="10"/>
      <c r="N70" s="4"/>
      <c r="V70" s="9" t="str">
        <f t="shared" si="34"/>
        <v>[</v>
      </c>
      <c r="Z70" t="str">
        <f t="shared" si="37"/>
        <v>[]</v>
      </c>
      <c r="AA70" s="8" t="str">
        <f t="shared" si="35"/>
        <v>[</v>
      </c>
      <c r="AB70" t="str">
        <f t="shared" si="29"/>
        <v/>
      </c>
      <c r="AC70" t="str">
        <f t="shared" si="30"/>
        <v/>
      </c>
      <c r="AD70" t="str">
        <f t="shared" si="31"/>
        <v>[]</v>
      </c>
      <c r="AE70" t="str">
        <f t="shared" si="32"/>
        <v/>
      </c>
      <c r="AF70" t="e">
        <f t="shared" si="38"/>
        <v>#REF!</v>
      </c>
      <c r="AG70" t="e">
        <f t="shared" si="33"/>
        <v>#REF!</v>
      </c>
      <c r="AH70" t="str">
        <f t="shared" si="36"/>
        <v/>
      </c>
    </row>
    <row r="71" spans="3:34" ht="21.75" customHeight="1" x14ac:dyDescent="0.2">
      <c r="C71" s="1" t="e">
        <f t="shared" si="27"/>
        <v>#REF!</v>
      </c>
      <c r="D71" s="1" t="str">
        <f t="shared" si="28"/>
        <v>FrequencyDomain</v>
      </c>
      <c r="I71" s="3"/>
      <c r="J71" s="10"/>
      <c r="K71" s="10"/>
      <c r="L71" s="10"/>
      <c r="M71" s="10"/>
      <c r="N71" s="4"/>
      <c r="V71" s="9" t="str">
        <f t="shared" si="34"/>
        <v>[</v>
      </c>
      <c r="Z71" t="str">
        <f t="shared" si="37"/>
        <v>[]</v>
      </c>
      <c r="AA71" s="8" t="str">
        <f t="shared" si="35"/>
        <v>[</v>
      </c>
      <c r="AB71" t="str">
        <f t="shared" si="29"/>
        <v/>
      </c>
      <c r="AC71" t="str">
        <f t="shared" si="30"/>
        <v/>
      </c>
      <c r="AD71" t="str">
        <f t="shared" si="31"/>
        <v>[]</v>
      </c>
      <c r="AE71" t="str">
        <f t="shared" si="32"/>
        <v/>
      </c>
      <c r="AF71" t="e">
        <f t="shared" si="38"/>
        <v>#REF!</v>
      </c>
      <c r="AG71" t="e">
        <f t="shared" si="33"/>
        <v>#REF!</v>
      </c>
      <c r="AH71" t="str">
        <f t="shared" si="36"/>
        <v/>
      </c>
    </row>
    <row r="72" spans="3:34" ht="21.75" customHeight="1" x14ac:dyDescent="0.2">
      <c r="C72" s="1" t="e">
        <f t="shared" si="27"/>
        <v>#REF!</v>
      </c>
      <c r="D72" s="1" t="str">
        <f t="shared" si="28"/>
        <v>FrequencyDomain</v>
      </c>
      <c r="I72" s="3"/>
      <c r="J72" s="10"/>
      <c r="K72" s="10"/>
      <c r="L72" s="10"/>
      <c r="M72" s="10"/>
      <c r="N72" s="4"/>
      <c r="V72" s="9" t="str">
        <f t="shared" si="34"/>
        <v>[</v>
      </c>
      <c r="Z72" t="str">
        <f t="shared" si="37"/>
        <v>[]</v>
      </c>
      <c r="AA72" s="8" t="str">
        <f t="shared" si="35"/>
        <v>[</v>
      </c>
      <c r="AB72" t="str">
        <f t="shared" si="29"/>
        <v/>
      </c>
      <c r="AC72" t="str">
        <f t="shared" si="30"/>
        <v/>
      </c>
      <c r="AD72" t="str">
        <f t="shared" si="31"/>
        <v>[]</v>
      </c>
      <c r="AE72" t="str">
        <f t="shared" si="32"/>
        <v/>
      </c>
      <c r="AF72" t="e">
        <f t="shared" si="38"/>
        <v>#REF!</v>
      </c>
      <c r="AG72" t="e">
        <f t="shared" si="33"/>
        <v>#REF!</v>
      </c>
      <c r="AH72" t="str">
        <f t="shared" si="36"/>
        <v/>
      </c>
    </row>
    <row r="73" spans="3:34" ht="21.75" customHeight="1" x14ac:dyDescent="0.2">
      <c r="C73" s="1" t="e">
        <f t="shared" si="27"/>
        <v>#REF!</v>
      </c>
      <c r="D73" s="1" t="str">
        <f t="shared" si="28"/>
        <v>FrequencyDomain</v>
      </c>
      <c r="I73" s="3"/>
      <c r="J73" s="10"/>
      <c r="K73" s="10"/>
      <c r="L73" s="10"/>
      <c r="M73" s="10"/>
      <c r="N73" s="4"/>
      <c r="V73" s="9" t="str">
        <f t="shared" si="34"/>
        <v>[</v>
      </c>
      <c r="Z73" t="str">
        <f t="shared" si="37"/>
        <v>[]</v>
      </c>
      <c r="AA73" s="8" t="str">
        <f t="shared" si="35"/>
        <v>[</v>
      </c>
      <c r="AB73" t="str">
        <f t="shared" si="29"/>
        <v/>
      </c>
      <c r="AC73" t="str">
        <f t="shared" si="30"/>
        <v/>
      </c>
      <c r="AD73" t="str">
        <f t="shared" si="31"/>
        <v>[]</v>
      </c>
      <c r="AE73" t="str">
        <f t="shared" si="32"/>
        <v/>
      </c>
      <c r="AF73" t="e">
        <f t="shared" si="38"/>
        <v>#REF!</v>
      </c>
      <c r="AG73" t="e">
        <f t="shared" si="33"/>
        <v>#REF!</v>
      </c>
      <c r="AH73" t="str">
        <f t="shared" si="36"/>
        <v/>
      </c>
    </row>
    <row r="74" spans="3:34" ht="21.75" customHeight="1" x14ac:dyDescent="0.2">
      <c r="C74" s="1" t="e">
        <f t="shared" si="27"/>
        <v>#REF!</v>
      </c>
      <c r="D74" s="1" t="str">
        <f t="shared" si="28"/>
        <v>FrequencyDomain</v>
      </c>
      <c r="I74" s="3"/>
      <c r="J74" s="10"/>
      <c r="K74" s="10"/>
      <c r="L74" s="10"/>
      <c r="M74" s="10"/>
      <c r="N74" s="4"/>
      <c r="V74" s="9" t="str">
        <f t="shared" si="34"/>
        <v>[</v>
      </c>
      <c r="Z74" t="str">
        <f t="shared" si="37"/>
        <v>[]</v>
      </c>
      <c r="AA74" s="8" t="str">
        <f t="shared" si="35"/>
        <v>[</v>
      </c>
      <c r="AB74" t="str">
        <f t="shared" si="29"/>
        <v/>
      </c>
      <c r="AC74" t="str">
        <f t="shared" si="30"/>
        <v/>
      </c>
      <c r="AD74" t="str">
        <f t="shared" si="31"/>
        <v>[]</v>
      </c>
      <c r="AE74" t="str">
        <f t="shared" si="32"/>
        <v/>
      </c>
      <c r="AF74" t="e">
        <f t="shared" si="38"/>
        <v>#REF!</v>
      </c>
      <c r="AG74" t="e">
        <f t="shared" si="33"/>
        <v>#REF!</v>
      </c>
      <c r="AH74" t="str">
        <f t="shared" si="36"/>
        <v/>
      </c>
    </row>
    <row r="75" spans="3:34" ht="21.75" customHeight="1" x14ac:dyDescent="0.2">
      <c r="C75" s="1" t="e">
        <f t="shared" si="27"/>
        <v>#REF!</v>
      </c>
      <c r="D75" s="1" t="str">
        <f t="shared" si="28"/>
        <v>FrequencyDomain</v>
      </c>
      <c r="I75" s="3"/>
      <c r="J75" s="10"/>
      <c r="K75" s="10"/>
      <c r="L75" s="10"/>
      <c r="M75" s="10"/>
      <c r="N75" s="4"/>
      <c r="V75" s="9" t="str">
        <f t="shared" si="34"/>
        <v>[</v>
      </c>
      <c r="Z75" t="str">
        <f t="shared" si="37"/>
        <v>[]</v>
      </c>
      <c r="AA75" s="8" t="str">
        <f t="shared" si="35"/>
        <v>[</v>
      </c>
      <c r="AB75" t="str">
        <f t="shared" si="29"/>
        <v/>
      </c>
      <c r="AC75" t="str">
        <f t="shared" si="30"/>
        <v/>
      </c>
      <c r="AD75" t="str">
        <f t="shared" si="31"/>
        <v>[]</v>
      </c>
      <c r="AE75" t="str">
        <f t="shared" si="32"/>
        <v/>
      </c>
      <c r="AF75" t="e">
        <f t="shared" si="38"/>
        <v>#REF!</v>
      </c>
      <c r="AG75" t="e">
        <f t="shared" si="33"/>
        <v>#REF!</v>
      </c>
      <c r="AH75" t="str">
        <f t="shared" si="36"/>
        <v/>
      </c>
    </row>
    <row r="76" spans="3:34" ht="21.75" customHeight="1" x14ac:dyDescent="0.2">
      <c r="C76" s="1" t="e">
        <f t="shared" si="27"/>
        <v>#REF!</v>
      </c>
      <c r="D76" s="1" t="str">
        <f t="shared" si="28"/>
        <v>FrequencyDomain</v>
      </c>
      <c r="I76" s="3"/>
      <c r="J76" s="10"/>
      <c r="K76" s="10"/>
      <c r="L76" s="10"/>
      <c r="M76" s="10"/>
      <c r="N76" s="4"/>
      <c r="V76" s="9" t="str">
        <f t="shared" si="34"/>
        <v>[</v>
      </c>
      <c r="Z76" t="str">
        <f t="shared" si="37"/>
        <v>[]</v>
      </c>
      <c r="AA76" s="8" t="str">
        <f t="shared" si="35"/>
        <v>[</v>
      </c>
      <c r="AB76" t="str">
        <f t="shared" si="29"/>
        <v/>
      </c>
      <c r="AC76" t="str">
        <f t="shared" si="30"/>
        <v/>
      </c>
      <c r="AD76" t="str">
        <f t="shared" si="31"/>
        <v>[]</v>
      </c>
      <c r="AE76" t="str">
        <f t="shared" si="32"/>
        <v/>
      </c>
      <c r="AF76" t="e">
        <f t="shared" si="38"/>
        <v>#REF!</v>
      </c>
      <c r="AG76" t="e">
        <f t="shared" si="33"/>
        <v>#REF!</v>
      </c>
      <c r="AH76" t="str">
        <f t="shared" si="36"/>
        <v/>
      </c>
    </row>
    <row r="77" spans="3:34" ht="21.75" customHeight="1" x14ac:dyDescent="0.2">
      <c r="C77" s="1" t="e">
        <f t="shared" si="27"/>
        <v>#REF!</v>
      </c>
      <c r="D77" s="1" t="str">
        <f t="shared" si="28"/>
        <v>FrequencyDomain</v>
      </c>
      <c r="I77" s="3"/>
      <c r="J77" s="10"/>
      <c r="K77" s="10"/>
      <c r="L77" s="10"/>
      <c r="M77" s="10"/>
      <c r="N77" s="4"/>
      <c r="V77" s="9" t="str">
        <f t="shared" si="34"/>
        <v>[</v>
      </c>
      <c r="Z77" t="str">
        <f t="shared" si="37"/>
        <v>[]</v>
      </c>
      <c r="AA77" s="8" t="str">
        <f t="shared" si="35"/>
        <v>[</v>
      </c>
      <c r="AB77" t="str">
        <f t="shared" si="29"/>
        <v/>
      </c>
      <c r="AC77" t="str">
        <f t="shared" si="30"/>
        <v/>
      </c>
      <c r="AD77" t="str">
        <f t="shared" si="31"/>
        <v>[]</v>
      </c>
      <c r="AE77" t="str">
        <f t="shared" si="32"/>
        <v/>
      </c>
      <c r="AF77" t="e">
        <f t="shared" si="38"/>
        <v>#REF!</v>
      </c>
      <c r="AG77" t="e">
        <f t="shared" si="33"/>
        <v>#REF!</v>
      </c>
      <c r="AH77" t="str">
        <f t="shared" si="36"/>
        <v/>
      </c>
    </row>
    <row r="78" spans="3:34" ht="21.75" customHeight="1" x14ac:dyDescent="0.2">
      <c r="C78" s="1" t="e">
        <f t="shared" si="27"/>
        <v>#REF!</v>
      </c>
      <c r="D78" s="1" t="str">
        <f t="shared" si="28"/>
        <v>FrequencyDomain</v>
      </c>
      <c r="I78" s="3"/>
      <c r="J78" s="10"/>
      <c r="K78" s="10"/>
      <c r="L78" s="10"/>
      <c r="M78" s="10"/>
      <c r="N78" s="4"/>
      <c r="V78" s="9" t="str">
        <f t="shared" si="34"/>
        <v>[</v>
      </c>
      <c r="Z78" t="str">
        <f t="shared" si="37"/>
        <v>[]</v>
      </c>
      <c r="AA78" s="8" t="str">
        <f t="shared" si="35"/>
        <v>[</v>
      </c>
      <c r="AB78" t="str">
        <f t="shared" si="29"/>
        <v/>
      </c>
      <c r="AC78" t="str">
        <f t="shared" si="30"/>
        <v/>
      </c>
      <c r="AD78" t="str">
        <f t="shared" si="31"/>
        <v>[]</v>
      </c>
      <c r="AE78" t="str">
        <f t="shared" si="32"/>
        <v/>
      </c>
      <c r="AF78" t="e">
        <f t="shared" si="38"/>
        <v>#REF!</v>
      </c>
      <c r="AG78" t="e">
        <f t="shared" si="33"/>
        <v>#REF!</v>
      </c>
      <c r="AH78" t="str">
        <f t="shared" si="36"/>
        <v/>
      </c>
    </row>
    <row r="79" spans="3:34" ht="21.75" customHeight="1" x14ac:dyDescent="0.2">
      <c r="C79" s="1" t="e">
        <f t="shared" si="27"/>
        <v>#REF!</v>
      </c>
      <c r="D79" s="1" t="str">
        <f t="shared" si="28"/>
        <v>FrequencyDomain</v>
      </c>
      <c r="I79" s="3"/>
      <c r="J79" s="10"/>
      <c r="K79" s="10"/>
      <c r="L79" s="10"/>
      <c r="M79" s="10"/>
      <c r="N79" s="4"/>
      <c r="V79" s="9" t="str">
        <f t="shared" si="34"/>
        <v>[</v>
      </c>
      <c r="Z79" t="str">
        <f t="shared" si="37"/>
        <v>[]</v>
      </c>
      <c r="AA79" s="8" t="str">
        <f t="shared" si="35"/>
        <v>[</v>
      </c>
      <c r="AB79" t="str">
        <f t="shared" si="29"/>
        <v/>
      </c>
      <c r="AC79" t="str">
        <f t="shared" si="30"/>
        <v/>
      </c>
      <c r="AD79" t="str">
        <f t="shared" si="31"/>
        <v>[]</v>
      </c>
      <c r="AE79" t="str">
        <f t="shared" si="32"/>
        <v/>
      </c>
      <c r="AF79" t="e">
        <f t="shared" si="38"/>
        <v>#REF!</v>
      </c>
      <c r="AG79" t="e">
        <f t="shared" si="33"/>
        <v>#REF!</v>
      </c>
      <c r="AH79" t="str">
        <f t="shared" si="36"/>
        <v/>
      </c>
    </row>
    <row r="80" spans="3:34" ht="21.75" customHeight="1" x14ac:dyDescent="0.2">
      <c r="C80" s="1" t="e">
        <f t="shared" ref="C80:C99" si="39">IF(ISBLANK(A80),C79,A80)</f>
        <v>#REF!</v>
      </c>
      <c r="D80" s="1" t="str">
        <f t="shared" ref="D80:D99" si="40">IF(NOT(ISBLANK(B80)), B80, IF(ISBLANK(A80), D79,A80))</f>
        <v>FrequencyDomain</v>
      </c>
      <c r="I80" s="3"/>
      <c r="J80" s="10"/>
      <c r="K80" s="10"/>
      <c r="L80" s="10"/>
      <c r="M80" s="10"/>
      <c r="N80" s="4"/>
      <c r="V80" s="9" t="str">
        <f t="shared" si="34"/>
        <v>[</v>
      </c>
      <c r="Z80" t="str">
        <f t="shared" si="37"/>
        <v>[]</v>
      </c>
      <c r="AA80" s="8" t="str">
        <f t="shared" si="35"/>
        <v>[</v>
      </c>
      <c r="AB80" t="str">
        <f t="shared" si="29"/>
        <v/>
      </c>
      <c r="AC80" t="str">
        <f t="shared" si="30"/>
        <v/>
      </c>
      <c r="AD80" t="str">
        <f t="shared" si="31"/>
        <v>[]</v>
      </c>
      <c r="AE80" t="str">
        <f t="shared" si="32"/>
        <v/>
      </c>
      <c r="AF80" t="e">
        <f t="shared" si="38"/>
        <v>#REF!</v>
      </c>
      <c r="AG80" t="e">
        <f t="shared" si="33"/>
        <v>#REF!</v>
      </c>
      <c r="AH80" t="str">
        <f t="shared" si="36"/>
        <v/>
      </c>
    </row>
    <row r="81" spans="3:34" ht="21.75" customHeight="1" x14ac:dyDescent="0.2">
      <c r="C81" s="1" t="e">
        <f t="shared" si="39"/>
        <v>#REF!</v>
      </c>
      <c r="D81" s="1" t="str">
        <f t="shared" si="40"/>
        <v>FrequencyDomain</v>
      </c>
      <c r="I81" s="3"/>
      <c r="J81" s="10"/>
      <c r="K81" s="10"/>
      <c r="L81" s="10"/>
      <c r="M81" s="10"/>
      <c r="N81" s="4"/>
      <c r="V81" s="9" t="str">
        <f t="shared" si="34"/>
        <v>[</v>
      </c>
      <c r="Z81" t="str">
        <f t="shared" si="37"/>
        <v>[]</v>
      </c>
      <c r="AA81" s="8" t="str">
        <f t="shared" si="35"/>
        <v>[</v>
      </c>
      <c r="AB81" t="str">
        <f t="shared" si="29"/>
        <v/>
      </c>
      <c r="AC81" t="str">
        <f t="shared" si="30"/>
        <v/>
      </c>
      <c r="AD81" t="str">
        <f t="shared" si="31"/>
        <v>[]</v>
      </c>
      <c r="AE81" t="str">
        <f t="shared" si="32"/>
        <v/>
      </c>
      <c r="AF81" t="e">
        <f t="shared" si="38"/>
        <v>#REF!</v>
      </c>
      <c r="AG81" t="e">
        <f t="shared" si="33"/>
        <v>#REF!</v>
      </c>
      <c r="AH81" t="str">
        <f t="shared" si="36"/>
        <v/>
      </c>
    </row>
    <row r="82" spans="3:34" ht="21.75" customHeight="1" x14ac:dyDescent="0.2">
      <c r="C82" s="1" t="e">
        <f t="shared" si="39"/>
        <v>#REF!</v>
      </c>
      <c r="D82" s="1" t="str">
        <f t="shared" si="40"/>
        <v>FrequencyDomain</v>
      </c>
      <c r="I82" s="3"/>
      <c r="J82" s="10"/>
      <c r="K82" s="10"/>
      <c r="L82" s="10"/>
      <c r="M82" s="10"/>
      <c r="N82" s="4"/>
      <c r="V82" s="9" t="str">
        <f t="shared" si="34"/>
        <v>[</v>
      </c>
      <c r="Z82" t="str">
        <f t="shared" si="37"/>
        <v>[]</v>
      </c>
      <c r="AA82" s="8" t="str">
        <f t="shared" si="35"/>
        <v>[</v>
      </c>
      <c r="AB82" t="str">
        <f t="shared" si="29"/>
        <v/>
      </c>
      <c r="AC82" t="str">
        <f t="shared" si="30"/>
        <v/>
      </c>
      <c r="AD82" t="str">
        <f t="shared" si="31"/>
        <v>[]</v>
      </c>
      <c r="AE82" t="str">
        <f t="shared" si="32"/>
        <v/>
      </c>
      <c r="AF82" t="e">
        <f t="shared" si="38"/>
        <v>#REF!</v>
      </c>
      <c r="AG82" t="e">
        <f t="shared" si="33"/>
        <v>#REF!</v>
      </c>
      <c r="AH82" t="str">
        <f t="shared" si="36"/>
        <v/>
      </c>
    </row>
    <row r="83" spans="3:34" ht="21.75" customHeight="1" x14ac:dyDescent="0.2">
      <c r="C83" s="1" t="e">
        <f t="shared" si="39"/>
        <v>#REF!</v>
      </c>
      <c r="D83" s="1" t="str">
        <f t="shared" si="40"/>
        <v>FrequencyDomain</v>
      </c>
      <c r="I83" s="3"/>
      <c r="J83" s="10"/>
      <c r="K83" s="10"/>
      <c r="L83" s="10"/>
      <c r="M83" s="10"/>
      <c r="N83" s="4"/>
      <c r="V83" s="9" t="str">
        <f t="shared" si="34"/>
        <v>[</v>
      </c>
      <c r="Z83" t="str">
        <f t="shared" si="37"/>
        <v>[]</v>
      </c>
      <c r="AA83" s="8" t="str">
        <f t="shared" si="35"/>
        <v>[</v>
      </c>
      <c r="AB83" t="str">
        <f t="shared" si="29"/>
        <v/>
      </c>
      <c r="AC83" t="str">
        <f t="shared" si="30"/>
        <v/>
      </c>
      <c r="AD83" t="str">
        <f t="shared" si="31"/>
        <v>[]</v>
      </c>
      <c r="AE83" t="str">
        <f t="shared" si="32"/>
        <v/>
      </c>
      <c r="AF83" t="e">
        <f t="shared" si="38"/>
        <v>#REF!</v>
      </c>
      <c r="AG83" t="e">
        <f t="shared" si="33"/>
        <v>#REF!</v>
      </c>
      <c r="AH83" t="str">
        <f t="shared" si="36"/>
        <v/>
      </c>
    </row>
    <row r="84" spans="3:34" ht="21.75" customHeight="1" x14ac:dyDescent="0.2">
      <c r="C84" s="1" t="e">
        <f t="shared" si="39"/>
        <v>#REF!</v>
      </c>
      <c r="D84" s="1" t="str">
        <f t="shared" si="40"/>
        <v>FrequencyDomain</v>
      </c>
      <c r="I84" s="3"/>
      <c r="J84" s="10"/>
      <c r="K84" s="10"/>
      <c r="L84" s="10"/>
      <c r="M84" s="10"/>
      <c r="N84" s="4"/>
      <c r="V84" s="9" t="str">
        <f t="shared" si="34"/>
        <v>[</v>
      </c>
      <c r="Z84" t="str">
        <f t="shared" si="37"/>
        <v>[]</v>
      </c>
      <c r="AA84" s="8" t="str">
        <f t="shared" si="35"/>
        <v>[</v>
      </c>
      <c r="AB84" t="str">
        <f t="shared" si="29"/>
        <v/>
      </c>
      <c r="AC84" t="str">
        <f t="shared" si="30"/>
        <v/>
      </c>
      <c r="AD84" t="str">
        <f t="shared" si="31"/>
        <v>[]</v>
      </c>
      <c r="AE84" t="str">
        <f t="shared" si="32"/>
        <v/>
      </c>
      <c r="AF84" t="e">
        <f t="shared" si="38"/>
        <v>#REF!</v>
      </c>
      <c r="AG84" t="e">
        <f t="shared" si="33"/>
        <v>#REF!</v>
      </c>
      <c r="AH84" t="str">
        <f t="shared" si="36"/>
        <v/>
      </c>
    </row>
    <row r="85" spans="3:34" ht="21.75" customHeight="1" x14ac:dyDescent="0.2">
      <c r="C85" s="1" t="e">
        <f t="shared" si="39"/>
        <v>#REF!</v>
      </c>
      <c r="D85" s="1" t="str">
        <f t="shared" si="40"/>
        <v>FrequencyDomain</v>
      </c>
      <c r="I85" s="3"/>
      <c r="J85" s="10"/>
      <c r="K85" s="10"/>
      <c r="L85" s="10"/>
      <c r="M85" s="10"/>
      <c r="N85" s="4"/>
      <c r="V85" s="9" t="str">
        <f t="shared" si="34"/>
        <v>[</v>
      </c>
      <c r="Z85" t="str">
        <f t="shared" si="37"/>
        <v>[]</v>
      </c>
      <c r="AA85" s="8" t="str">
        <f t="shared" si="35"/>
        <v>[</v>
      </c>
      <c r="AB85" t="str">
        <f t="shared" si="29"/>
        <v/>
      </c>
      <c r="AC85" t="str">
        <f t="shared" si="30"/>
        <v/>
      </c>
      <c r="AD85" t="str">
        <f t="shared" si="31"/>
        <v>[]</v>
      </c>
      <c r="AE85" t="str">
        <f t="shared" si="32"/>
        <v/>
      </c>
      <c r="AF85" t="e">
        <f t="shared" si="38"/>
        <v>#REF!</v>
      </c>
      <c r="AG85" t="e">
        <f t="shared" si="33"/>
        <v>#REF!</v>
      </c>
      <c r="AH85" t="str">
        <f t="shared" si="36"/>
        <v/>
      </c>
    </row>
    <row r="86" spans="3:34" ht="21.75" customHeight="1" x14ac:dyDescent="0.2">
      <c r="C86" s="1" t="e">
        <f t="shared" si="39"/>
        <v>#REF!</v>
      </c>
      <c r="D86" s="1" t="str">
        <f t="shared" si="40"/>
        <v>FrequencyDomain</v>
      </c>
      <c r="I86" s="3"/>
      <c r="J86" s="10"/>
      <c r="K86" s="10"/>
      <c r="L86" s="10"/>
      <c r="M86" s="10"/>
      <c r="N86" s="4"/>
      <c r="V86" s="9" t="str">
        <f t="shared" si="34"/>
        <v>[</v>
      </c>
      <c r="Z86" t="str">
        <f t="shared" si="37"/>
        <v>[]</v>
      </c>
      <c r="AA86" s="8" t="str">
        <f t="shared" si="35"/>
        <v>[</v>
      </c>
      <c r="AB86" t="str">
        <f t="shared" si="29"/>
        <v/>
      </c>
      <c r="AC86" t="str">
        <f t="shared" si="30"/>
        <v/>
      </c>
      <c r="AD86" t="str">
        <f t="shared" si="31"/>
        <v>[]</v>
      </c>
      <c r="AE86" t="str">
        <f t="shared" si="32"/>
        <v/>
      </c>
      <c r="AF86" t="e">
        <f t="shared" si="38"/>
        <v>#REF!</v>
      </c>
      <c r="AG86" t="e">
        <f t="shared" si="33"/>
        <v>#REF!</v>
      </c>
      <c r="AH86" t="str">
        <f t="shared" si="36"/>
        <v/>
      </c>
    </row>
    <row r="87" spans="3:34" ht="21.75" customHeight="1" x14ac:dyDescent="0.2">
      <c r="C87" s="1" t="e">
        <f t="shared" si="39"/>
        <v>#REF!</v>
      </c>
      <c r="D87" s="1" t="str">
        <f t="shared" si="40"/>
        <v>FrequencyDomain</v>
      </c>
      <c r="I87" s="3"/>
      <c r="J87" s="10"/>
      <c r="K87" s="10"/>
      <c r="L87" s="10"/>
      <c r="M87" s="10"/>
      <c r="N87" s="4"/>
      <c r="V87" s="9" t="str">
        <f t="shared" si="34"/>
        <v>[</v>
      </c>
      <c r="Z87" t="str">
        <f t="shared" si="37"/>
        <v>[]</v>
      </c>
      <c r="AA87" s="8" t="str">
        <f t="shared" si="35"/>
        <v>[</v>
      </c>
      <c r="AB87" t="str">
        <f t="shared" si="29"/>
        <v/>
      </c>
      <c r="AC87" t="str">
        <f t="shared" si="30"/>
        <v/>
      </c>
      <c r="AD87" t="str">
        <f t="shared" si="31"/>
        <v>[]</v>
      </c>
      <c r="AE87" t="str">
        <f t="shared" si="32"/>
        <v/>
      </c>
      <c r="AF87" t="e">
        <f t="shared" si="38"/>
        <v>#REF!</v>
      </c>
      <c r="AG87" t="e">
        <f t="shared" si="33"/>
        <v>#REF!</v>
      </c>
      <c r="AH87" t="str">
        <f t="shared" si="36"/>
        <v/>
      </c>
    </row>
    <row r="88" spans="3:34" ht="21.75" customHeight="1" x14ac:dyDescent="0.2">
      <c r="C88" s="1" t="e">
        <f t="shared" si="39"/>
        <v>#REF!</v>
      </c>
      <c r="D88" s="1" t="str">
        <f t="shared" si="40"/>
        <v>FrequencyDomain</v>
      </c>
      <c r="I88" s="3"/>
      <c r="J88" s="10"/>
      <c r="K88" s="10"/>
      <c r="L88" s="10"/>
      <c r="M88" s="10"/>
      <c r="N88" s="4"/>
      <c r="V88" s="9" t="str">
        <f t="shared" si="34"/>
        <v>[</v>
      </c>
      <c r="Z88" t="str">
        <f t="shared" si="37"/>
        <v>[]</v>
      </c>
      <c r="AA88" s="8" t="str">
        <f t="shared" si="35"/>
        <v>[</v>
      </c>
      <c r="AB88" t="str">
        <f t="shared" si="29"/>
        <v/>
      </c>
      <c r="AC88" t="str">
        <f t="shared" si="30"/>
        <v/>
      </c>
      <c r="AD88" t="str">
        <f t="shared" si="31"/>
        <v>[]</v>
      </c>
      <c r="AE88" t="str">
        <f t="shared" si="32"/>
        <v/>
      </c>
      <c r="AF88" t="e">
        <f t="shared" si="38"/>
        <v>#REF!</v>
      </c>
      <c r="AG88" t="e">
        <f t="shared" si="33"/>
        <v>#REF!</v>
      </c>
      <c r="AH88" t="str">
        <f t="shared" si="36"/>
        <v/>
      </c>
    </row>
    <row r="89" spans="3:34" ht="21.75" customHeight="1" x14ac:dyDescent="0.2">
      <c r="C89" s="1" t="e">
        <f t="shared" si="39"/>
        <v>#REF!</v>
      </c>
      <c r="D89" s="1" t="str">
        <f t="shared" si="40"/>
        <v>FrequencyDomain</v>
      </c>
      <c r="I89" s="3"/>
      <c r="J89" s="10"/>
      <c r="K89" s="10"/>
      <c r="L89" s="10"/>
      <c r="M89" s="10"/>
      <c r="N89" s="4"/>
      <c r="V89" s="9" t="str">
        <f t="shared" si="34"/>
        <v>[</v>
      </c>
      <c r="Z89" t="str">
        <f t="shared" si="37"/>
        <v>[]</v>
      </c>
      <c r="AA89" s="8" t="str">
        <f t="shared" si="35"/>
        <v>[</v>
      </c>
      <c r="AB89" t="str">
        <f t="shared" si="29"/>
        <v/>
      </c>
      <c r="AC89" t="str">
        <f t="shared" si="30"/>
        <v/>
      </c>
      <c r="AD89" t="str">
        <f t="shared" si="31"/>
        <v>[]</v>
      </c>
      <c r="AE89" t="str">
        <f t="shared" si="32"/>
        <v/>
      </c>
      <c r="AF89" t="e">
        <f t="shared" si="38"/>
        <v>#REF!</v>
      </c>
      <c r="AG89" t="e">
        <f t="shared" si="33"/>
        <v>#REF!</v>
      </c>
      <c r="AH89" t="str">
        <f t="shared" si="36"/>
        <v/>
      </c>
    </row>
    <row r="90" spans="3:34" ht="21.75" customHeight="1" x14ac:dyDescent="0.2">
      <c r="C90" s="1" t="e">
        <f t="shared" si="39"/>
        <v>#REF!</v>
      </c>
      <c r="D90" s="1" t="str">
        <f t="shared" si="40"/>
        <v>FrequencyDomain</v>
      </c>
      <c r="I90" s="3"/>
      <c r="J90" s="10"/>
      <c r="K90" s="10"/>
      <c r="L90" s="10"/>
      <c r="M90" s="10"/>
      <c r="N90" s="4"/>
      <c r="V90" s="9" t="str">
        <f t="shared" si="34"/>
        <v>[</v>
      </c>
      <c r="Z90" t="str">
        <f t="shared" si="37"/>
        <v>[]</v>
      </c>
      <c r="AA90" s="8" t="str">
        <f t="shared" si="35"/>
        <v>[</v>
      </c>
      <c r="AB90" t="str">
        <f t="shared" si="29"/>
        <v/>
      </c>
      <c r="AC90" t="str">
        <f t="shared" si="30"/>
        <v/>
      </c>
      <c r="AD90" t="str">
        <f t="shared" si="31"/>
        <v>[]</v>
      </c>
      <c r="AE90" t="str">
        <f t="shared" si="32"/>
        <v/>
      </c>
      <c r="AF90" t="e">
        <f t="shared" si="38"/>
        <v>#REF!</v>
      </c>
      <c r="AG90" t="e">
        <f t="shared" si="33"/>
        <v>#REF!</v>
      </c>
      <c r="AH90" t="str">
        <f t="shared" si="36"/>
        <v/>
      </c>
    </row>
    <row r="91" spans="3:34" ht="21.75" customHeight="1" x14ac:dyDescent="0.2">
      <c r="C91" s="1" t="e">
        <f t="shared" si="39"/>
        <v>#REF!</v>
      </c>
      <c r="D91" s="1" t="str">
        <f t="shared" si="40"/>
        <v>FrequencyDomain</v>
      </c>
      <c r="I91" s="3"/>
      <c r="J91" s="10"/>
      <c r="K91" s="10"/>
      <c r="L91" s="10"/>
      <c r="M91" s="10"/>
      <c r="N91" s="4"/>
      <c r="V91" s="9" t="str">
        <f t="shared" si="34"/>
        <v>[</v>
      </c>
      <c r="Z91" t="str">
        <f t="shared" si="37"/>
        <v>[]</v>
      </c>
      <c r="AA91" s="8" t="str">
        <f t="shared" si="35"/>
        <v>[</v>
      </c>
      <c r="AB91" t="str">
        <f t="shared" si="29"/>
        <v/>
      </c>
      <c r="AC91" t="str">
        <f t="shared" si="30"/>
        <v/>
      </c>
      <c r="AD91" t="str">
        <f t="shared" si="31"/>
        <v>[]</v>
      </c>
      <c r="AE91" t="str">
        <f t="shared" si="32"/>
        <v/>
      </c>
      <c r="AF91" t="e">
        <f t="shared" si="38"/>
        <v>#REF!</v>
      </c>
      <c r="AG91" t="e">
        <f t="shared" si="33"/>
        <v>#REF!</v>
      </c>
      <c r="AH91" t="str">
        <f t="shared" si="36"/>
        <v/>
      </c>
    </row>
    <row r="92" spans="3:34" ht="21.75" customHeight="1" x14ac:dyDescent="0.2">
      <c r="C92" s="1" t="e">
        <f t="shared" si="39"/>
        <v>#REF!</v>
      </c>
      <c r="D92" s="1" t="str">
        <f t="shared" si="40"/>
        <v>FrequencyDomain</v>
      </c>
      <c r="I92" s="3"/>
      <c r="J92" s="10"/>
      <c r="K92" s="10"/>
      <c r="L92" s="10"/>
      <c r="M92" s="10"/>
      <c r="N92" s="4"/>
      <c r="V92" s="9" t="str">
        <f t="shared" si="34"/>
        <v>[</v>
      </c>
      <c r="Z92" t="str">
        <f t="shared" si="37"/>
        <v>[]</v>
      </c>
      <c r="AA92" s="8" t="str">
        <f t="shared" si="35"/>
        <v>[</v>
      </c>
      <c r="AB92" t="str">
        <f t="shared" si="29"/>
        <v/>
      </c>
      <c r="AC92" t="str">
        <f t="shared" si="30"/>
        <v/>
      </c>
      <c r="AD92" t="str">
        <f t="shared" si="31"/>
        <v>[]</v>
      </c>
      <c r="AE92" t="str">
        <f t="shared" si="32"/>
        <v/>
      </c>
      <c r="AF92" t="e">
        <f t="shared" si="38"/>
        <v>#REF!</v>
      </c>
      <c r="AG92" t="e">
        <f t="shared" si="33"/>
        <v>#REF!</v>
      </c>
      <c r="AH92" t="str">
        <f t="shared" si="36"/>
        <v/>
      </c>
    </row>
    <row r="93" spans="3:34" ht="21.75" customHeight="1" x14ac:dyDescent="0.2">
      <c r="C93" s="1" t="e">
        <f t="shared" si="39"/>
        <v>#REF!</v>
      </c>
      <c r="D93" s="1" t="str">
        <f t="shared" si="40"/>
        <v>FrequencyDomain</v>
      </c>
      <c r="I93" s="3"/>
      <c r="J93" s="10"/>
      <c r="K93" s="10"/>
      <c r="L93" s="10"/>
      <c r="M93" s="10"/>
      <c r="N93" s="4"/>
      <c r="V93" s="9" t="str">
        <f t="shared" si="34"/>
        <v>[</v>
      </c>
      <c r="Z93" t="str">
        <f t="shared" si="37"/>
        <v>[]</v>
      </c>
      <c r="AA93" s="8" t="str">
        <f t="shared" si="35"/>
        <v>[</v>
      </c>
      <c r="AB93" t="str">
        <f t="shared" si="29"/>
        <v/>
      </c>
      <c r="AC93" t="str">
        <f t="shared" si="30"/>
        <v/>
      </c>
      <c r="AD93" t="str">
        <f t="shared" si="31"/>
        <v>[]</v>
      </c>
      <c r="AE93" t="str">
        <f t="shared" si="32"/>
        <v/>
      </c>
      <c r="AF93" t="e">
        <f t="shared" si="38"/>
        <v>#REF!</v>
      </c>
      <c r="AG93" t="e">
        <f t="shared" si="33"/>
        <v>#REF!</v>
      </c>
      <c r="AH93" t="str">
        <f t="shared" si="36"/>
        <v/>
      </c>
    </row>
    <row r="94" spans="3:34" ht="21.75" customHeight="1" x14ac:dyDescent="0.2">
      <c r="C94" s="1" t="e">
        <f t="shared" si="39"/>
        <v>#REF!</v>
      </c>
      <c r="D94" s="1" t="str">
        <f t="shared" si="40"/>
        <v>FrequencyDomain</v>
      </c>
      <c r="I94" s="3"/>
      <c r="J94" s="10"/>
      <c r="K94" s="10"/>
      <c r="L94" s="10"/>
      <c r="M94" s="10"/>
      <c r="N94" s="4"/>
      <c r="V94" s="9" t="str">
        <f t="shared" si="34"/>
        <v>[</v>
      </c>
      <c r="Z94" t="str">
        <f t="shared" si="37"/>
        <v>[]</v>
      </c>
      <c r="AA94" s="8" t="str">
        <f t="shared" si="35"/>
        <v>[</v>
      </c>
      <c r="AB94" t="str">
        <f t="shared" si="29"/>
        <v/>
      </c>
      <c r="AC94" t="str">
        <f t="shared" si="30"/>
        <v/>
      </c>
      <c r="AD94" t="str">
        <f t="shared" si="31"/>
        <v>[]</v>
      </c>
      <c r="AE94" t="str">
        <f t="shared" si="32"/>
        <v/>
      </c>
      <c r="AF94" t="e">
        <f t="shared" si="38"/>
        <v>#REF!</v>
      </c>
      <c r="AG94" t="e">
        <f t="shared" si="33"/>
        <v>#REF!</v>
      </c>
      <c r="AH94" t="str">
        <f t="shared" si="36"/>
        <v/>
      </c>
    </row>
    <row r="95" spans="3:34" ht="21.75" customHeight="1" x14ac:dyDescent="0.2">
      <c r="C95" s="1" t="e">
        <f t="shared" si="39"/>
        <v>#REF!</v>
      </c>
      <c r="D95" s="1" t="str">
        <f t="shared" si="40"/>
        <v>FrequencyDomain</v>
      </c>
      <c r="I95" s="3"/>
      <c r="J95" s="10"/>
      <c r="K95" s="10"/>
      <c r="L95" s="10"/>
      <c r="M95" s="10"/>
      <c r="N95" s="4"/>
      <c r="V95" s="9" t="str">
        <f t="shared" si="34"/>
        <v>[</v>
      </c>
      <c r="Z95" t="str">
        <f t="shared" si="37"/>
        <v>[]</v>
      </c>
      <c r="AA95" s="8" t="str">
        <f t="shared" si="35"/>
        <v>[</v>
      </c>
      <c r="AB95" t="str">
        <f t="shared" si="29"/>
        <v/>
      </c>
      <c r="AC95" t="str">
        <f t="shared" si="30"/>
        <v/>
      </c>
      <c r="AD95" t="str">
        <f t="shared" si="31"/>
        <v>[]</v>
      </c>
      <c r="AE95" t="str">
        <f t="shared" si="32"/>
        <v/>
      </c>
      <c r="AF95" t="e">
        <f t="shared" si="38"/>
        <v>#REF!</v>
      </c>
      <c r="AG95" t="e">
        <f t="shared" si="33"/>
        <v>#REF!</v>
      </c>
      <c r="AH95" t="str">
        <f t="shared" si="36"/>
        <v/>
      </c>
    </row>
    <row r="96" spans="3:34" ht="21.75" customHeight="1" x14ac:dyDescent="0.2">
      <c r="C96" s="1" t="e">
        <f t="shared" si="39"/>
        <v>#REF!</v>
      </c>
      <c r="D96" s="1" t="str">
        <f t="shared" si="40"/>
        <v>FrequencyDomain</v>
      </c>
      <c r="I96" s="3"/>
      <c r="J96" s="10"/>
      <c r="K96" s="10"/>
      <c r="L96" s="10"/>
      <c r="M96" s="10"/>
      <c r="N96" s="4"/>
      <c r="V96" s="9" t="str">
        <f t="shared" si="34"/>
        <v>[</v>
      </c>
      <c r="Z96" t="str">
        <f t="shared" si="37"/>
        <v>[]</v>
      </c>
      <c r="AA96" s="8" t="str">
        <f t="shared" si="35"/>
        <v>[</v>
      </c>
      <c r="AB96" t="str">
        <f t="shared" si="29"/>
        <v/>
      </c>
      <c r="AC96" t="str">
        <f t="shared" si="30"/>
        <v/>
      </c>
      <c r="AD96" t="str">
        <f t="shared" si="31"/>
        <v>[]</v>
      </c>
      <c r="AE96" t="str">
        <f t="shared" si="32"/>
        <v/>
      </c>
      <c r="AF96" t="e">
        <f t="shared" si="38"/>
        <v>#REF!</v>
      </c>
      <c r="AG96" t="e">
        <f t="shared" si="33"/>
        <v>#REF!</v>
      </c>
      <c r="AH96" t="str">
        <f t="shared" si="36"/>
        <v/>
      </c>
    </row>
    <row r="97" spans="3:34" ht="21.75" customHeight="1" x14ac:dyDescent="0.2">
      <c r="C97" s="1" t="e">
        <f t="shared" si="39"/>
        <v>#REF!</v>
      </c>
      <c r="D97" s="1" t="str">
        <f t="shared" si="40"/>
        <v>FrequencyDomain</v>
      </c>
      <c r="I97" s="3"/>
      <c r="J97" s="10"/>
      <c r="K97" s="10"/>
      <c r="L97" s="10"/>
      <c r="M97" s="10"/>
      <c r="N97" s="4"/>
      <c r="V97" s="9" t="str">
        <f t="shared" si="34"/>
        <v>[</v>
      </c>
      <c r="Z97" t="str">
        <f t="shared" si="37"/>
        <v>[]</v>
      </c>
      <c r="AA97" s="8" t="str">
        <f t="shared" si="35"/>
        <v>[</v>
      </c>
      <c r="AB97" t="str">
        <f t="shared" si="29"/>
        <v/>
      </c>
      <c r="AC97" t="str">
        <f t="shared" si="30"/>
        <v/>
      </c>
      <c r="AD97" t="str">
        <f t="shared" si="31"/>
        <v>[]</v>
      </c>
      <c r="AE97" t="str">
        <f t="shared" si="32"/>
        <v/>
      </c>
      <c r="AF97" t="e">
        <f t="shared" si="38"/>
        <v>#REF!</v>
      </c>
      <c r="AG97" t="e">
        <f t="shared" si="33"/>
        <v>#REF!</v>
      </c>
      <c r="AH97" t="str">
        <f t="shared" si="36"/>
        <v/>
      </c>
    </row>
    <row r="98" spans="3:34" ht="21.75" customHeight="1" x14ac:dyDescent="0.2">
      <c r="C98" s="1" t="e">
        <f t="shared" si="39"/>
        <v>#REF!</v>
      </c>
      <c r="D98" s="1" t="str">
        <f t="shared" si="40"/>
        <v>FrequencyDomain</v>
      </c>
      <c r="I98" s="3"/>
      <c r="J98" s="10"/>
      <c r="K98" s="10"/>
      <c r="L98" s="10"/>
      <c r="M98" s="10"/>
      <c r="N98" s="4"/>
      <c r="V98" s="9" t="str">
        <f t="shared" si="34"/>
        <v>[</v>
      </c>
      <c r="Z98" t="str">
        <f t="shared" si="37"/>
        <v>[]</v>
      </c>
      <c r="AA98" s="8" t="str">
        <f t="shared" si="35"/>
        <v>[</v>
      </c>
      <c r="AB98" t="str">
        <f t="shared" si="29"/>
        <v/>
      </c>
      <c r="AC98" t="str">
        <f t="shared" si="30"/>
        <v/>
      </c>
      <c r="AD98" t="str">
        <f t="shared" si="31"/>
        <v>[]</v>
      </c>
      <c r="AE98" t="str">
        <f t="shared" si="32"/>
        <v/>
      </c>
      <c r="AF98" t="e">
        <f t="shared" si="38"/>
        <v>#REF!</v>
      </c>
      <c r="AG98" t="e">
        <f t="shared" si="33"/>
        <v>#REF!</v>
      </c>
      <c r="AH98" t="str">
        <f t="shared" si="36"/>
        <v/>
      </c>
    </row>
    <row r="99" spans="3:34" ht="21.75" customHeight="1" x14ac:dyDescent="0.2">
      <c r="C99" s="1" t="e">
        <f t="shared" si="39"/>
        <v>#REF!</v>
      </c>
      <c r="D99" s="1" t="str">
        <f t="shared" si="40"/>
        <v>FrequencyDomain</v>
      </c>
      <c r="I99" s="3"/>
      <c r="J99" s="10"/>
      <c r="K99" s="10"/>
      <c r="L99" s="10"/>
      <c r="M99" s="10"/>
      <c r="N99" s="4"/>
      <c r="V99" s="9" t="str">
        <f t="shared" si="34"/>
        <v>[</v>
      </c>
      <c r="Z99" t="str">
        <f t="shared" si="37"/>
        <v>[]</v>
      </c>
      <c r="AA99" s="8" t="str">
        <f t="shared" si="35"/>
        <v>[</v>
      </c>
      <c r="AB99" t="str">
        <f t="shared" si="29"/>
        <v/>
      </c>
      <c r="AC99" t="str">
        <f t="shared" si="30"/>
        <v/>
      </c>
      <c r="AD99" t="str">
        <f t="shared" si="31"/>
        <v>[]</v>
      </c>
      <c r="AE99" t="str">
        <f t="shared" si="32"/>
        <v/>
      </c>
      <c r="AF99" t="e">
        <f t="shared" si="38"/>
        <v>#REF!</v>
      </c>
      <c r="AG99" t="e">
        <f t="shared" si="33"/>
        <v>#REF!</v>
      </c>
      <c r="AH99" t="str">
        <f t="shared" si="36"/>
        <v/>
      </c>
    </row>
    <row r="100" spans="3:34" x14ac:dyDescent="0.2">
      <c r="I100" s="3"/>
      <c r="J100" s="10"/>
      <c r="K100" s="10"/>
      <c r="L100" s="10"/>
      <c r="M100" s="10"/>
      <c r="N100" s="4"/>
    </row>
    <row r="101" spans="3:34" x14ac:dyDescent="0.2">
      <c r="I101" s="3"/>
      <c r="J101" s="10"/>
      <c r="K101" s="10"/>
      <c r="L101" s="10"/>
      <c r="M101" s="10"/>
      <c r="N101" s="4"/>
    </row>
    <row r="102" spans="3:34" x14ac:dyDescent="0.2">
      <c r="I102" s="3"/>
      <c r="J102" s="10"/>
      <c r="K102" s="10"/>
      <c r="L102" s="10"/>
      <c r="M102" s="10"/>
      <c r="N102" s="4"/>
    </row>
    <row r="103" spans="3:34" x14ac:dyDescent="0.2">
      <c r="I103" s="3"/>
      <c r="J103" s="10"/>
      <c r="K103" s="10"/>
      <c r="L103" s="10"/>
      <c r="M103" s="10"/>
      <c r="N103" s="4"/>
    </row>
    <row r="104" spans="3:34" x14ac:dyDescent="0.2">
      <c r="I104" s="3"/>
      <c r="J104" s="10"/>
      <c r="K104" s="10"/>
      <c r="L104" s="10"/>
      <c r="M104" s="10"/>
      <c r="N104" s="4"/>
    </row>
    <row r="105" spans="3:34" x14ac:dyDescent="0.2">
      <c r="I105" s="3"/>
      <c r="J105" s="10"/>
      <c r="K105" s="10"/>
      <c r="L105" s="10"/>
      <c r="M105" s="10"/>
      <c r="N105" s="4"/>
    </row>
    <row r="106" spans="3:34" x14ac:dyDescent="0.2">
      <c r="I106" s="3"/>
      <c r="J106" s="10"/>
      <c r="K106" s="10"/>
      <c r="L106" s="10"/>
      <c r="M106" s="10"/>
      <c r="N106" s="4"/>
    </row>
    <row r="107" spans="3:34" x14ac:dyDescent="0.2">
      <c r="I107" s="3"/>
      <c r="J107" s="10"/>
      <c r="K107" s="10"/>
      <c r="L107" s="10"/>
      <c r="M107" s="10"/>
      <c r="N107" s="4"/>
    </row>
  </sheetData>
  <mergeCells count="4">
    <mergeCell ref="F1:I1"/>
    <mergeCell ref="N1:P1"/>
    <mergeCell ref="J1:M1"/>
    <mergeCell ref="Q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BlockTypes</vt:lpstr>
      <vt:lpstr>BaseTypes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2013-08-28T10:32:48Z</dcterms:modified>
</cp:coreProperties>
</file>