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7350" tabRatio="842"/>
  </bookViews>
  <sheets>
    <sheet name="BlockTypes" sheetId="1" r:id="rId1"/>
    <sheet name="BaseTypes" sheetId="2" r:id="rId2"/>
    <sheet name="UI" sheetId="3" r:id="rId3"/>
    <sheet name="BlockTypesHuman" sheetId="4" r:id="rId4"/>
  </sheets>
  <calcPr calcId="145621"/>
</workbook>
</file>

<file path=xl/calcChain.xml><?xml version="1.0" encoding="utf-8"?>
<calcChain xmlns="http://schemas.openxmlformats.org/spreadsheetml/2006/main">
  <c r="AM67" i="1" l="1"/>
  <c r="AI64" i="1"/>
  <c r="AP64" i="1" s="1"/>
  <c r="AJ64" i="1"/>
  <c r="AK64" i="1"/>
  <c r="AL64" i="1"/>
  <c r="AM64" i="1"/>
  <c r="AQ64" i="1" s="1"/>
  <c r="AN64" i="1"/>
  <c r="AO64" i="1"/>
  <c r="AI65" i="1"/>
  <c r="AP65" i="1" s="1"/>
  <c r="AJ65" i="1"/>
  <c r="AK65" i="1"/>
  <c r="AL65" i="1"/>
  <c r="AM65" i="1"/>
  <c r="AQ65" i="1" s="1"/>
  <c r="AN65" i="1"/>
  <c r="AO65" i="1"/>
  <c r="AI66" i="1"/>
  <c r="AJ66" i="1"/>
  <c r="AK66" i="1"/>
  <c r="AL66" i="1"/>
  <c r="AM66" i="1"/>
  <c r="AN66" i="1"/>
  <c r="AO66" i="1"/>
  <c r="AQ66" i="1" l="1"/>
  <c r="AP66" i="1"/>
  <c r="AC41" i="4"/>
  <c r="AC42" i="4" s="1"/>
  <c r="AC43" i="4" s="1"/>
  <c r="AC44" i="4" s="1"/>
  <c r="AC45" i="4" s="1"/>
  <c r="AC17" i="4"/>
  <c r="AC18" i="4" s="1"/>
  <c r="BE4" i="1"/>
  <c r="BE5" i="1"/>
  <c r="BE6" i="1"/>
  <c r="BE7" i="1"/>
  <c r="BE10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3" i="1"/>
  <c r="AH5" i="1"/>
  <c r="AH6" i="1"/>
  <c r="AH7" i="1"/>
  <c r="AH33" i="1" l="1"/>
  <c r="AH34" i="1"/>
  <c r="AH35" i="1"/>
  <c r="AH36" i="1"/>
  <c r="AH37" i="1"/>
  <c r="AH38" i="1"/>
  <c r="AH39" i="1"/>
  <c r="AH14" i="1"/>
  <c r="AH15" i="1"/>
  <c r="AH16" i="1"/>
  <c r="AH17" i="1"/>
  <c r="BD18" i="1"/>
  <c r="BD17" i="1"/>
  <c r="AH4" i="1" l="1"/>
  <c r="AH10" i="1"/>
  <c r="AH12" i="1"/>
  <c r="AH13" i="1"/>
  <c r="AH18" i="1"/>
  <c r="AH19" i="1"/>
  <c r="AH20" i="1"/>
  <c r="AH21" i="1"/>
  <c r="AH22" i="1"/>
  <c r="AH23" i="1"/>
  <c r="AH26" i="1"/>
  <c r="AH27" i="1"/>
  <c r="AH28" i="1"/>
  <c r="AH29" i="1"/>
  <c r="AH30" i="1"/>
  <c r="AH31" i="1"/>
  <c r="AH32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BE64" i="1" s="1"/>
  <c r="AH67" i="1"/>
  <c r="BE67" i="1" s="1"/>
  <c r="AH68" i="1"/>
  <c r="BE68" i="1" s="1"/>
  <c r="AH69" i="1"/>
  <c r="BE69" i="1" s="1"/>
  <c r="AH70" i="1"/>
  <c r="BE70" i="1" s="1"/>
  <c r="AH71" i="1"/>
  <c r="BE71" i="1" s="1"/>
  <c r="AH72" i="1"/>
  <c r="BE72" i="1" s="1"/>
  <c r="AH73" i="1"/>
  <c r="BE73" i="1" s="1"/>
  <c r="AH74" i="1"/>
  <c r="BE74" i="1" s="1"/>
  <c r="AH75" i="1"/>
  <c r="BE75" i="1" s="1"/>
  <c r="AH76" i="1"/>
  <c r="BE76" i="1" s="1"/>
  <c r="AH77" i="1"/>
  <c r="BE77" i="1" s="1"/>
  <c r="AH78" i="1"/>
  <c r="BE78" i="1" s="1"/>
  <c r="AH79" i="1"/>
  <c r="BE79" i="1" s="1"/>
  <c r="AH80" i="1"/>
  <c r="BE80" i="1" s="1"/>
  <c r="AH81" i="1"/>
  <c r="BE81" i="1" s="1"/>
  <c r="AH82" i="1"/>
  <c r="BE82" i="1" s="1"/>
  <c r="AH83" i="1"/>
  <c r="BE83" i="1" s="1"/>
  <c r="AH84" i="1"/>
  <c r="BE84" i="1" s="1"/>
  <c r="AH85" i="1"/>
  <c r="BE85" i="1" s="1"/>
  <c r="AH86" i="1"/>
  <c r="BE86" i="1" s="1"/>
  <c r="AH87" i="1"/>
  <c r="BE87" i="1" s="1"/>
  <c r="AH88" i="1"/>
  <c r="BE88" i="1" s="1"/>
  <c r="AH89" i="1"/>
  <c r="BE89" i="1" s="1"/>
  <c r="AH90" i="1"/>
  <c r="BE90" i="1" s="1"/>
  <c r="AH91" i="1"/>
  <c r="BE91" i="1" s="1"/>
  <c r="AH92" i="1"/>
  <c r="BE92" i="1" s="1"/>
  <c r="AH93" i="1"/>
  <c r="BE93" i="1" s="1"/>
  <c r="AH94" i="1"/>
  <c r="BE94" i="1" s="1"/>
  <c r="AH95" i="1"/>
  <c r="BE95" i="1" s="1"/>
  <c r="AH96" i="1"/>
  <c r="BE96" i="1" s="1"/>
  <c r="AH97" i="1"/>
  <c r="BE97" i="1" s="1"/>
  <c r="AH98" i="1"/>
  <c r="BE98" i="1" s="1"/>
  <c r="AH99" i="1"/>
  <c r="BE99" i="1" s="1"/>
  <c r="AH100" i="1"/>
  <c r="BE100" i="1" s="1"/>
  <c r="AH101" i="1"/>
  <c r="BE101" i="1" s="1"/>
  <c r="AH102" i="1"/>
  <c r="BE102" i="1" s="1"/>
  <c r="AH103" i="1"/>
  <c r="BE103" i="1" s="1"/>
  <c r="AH104" i="1"/>
  <c r="BE104" i="1" s="1"/>
  <c r="AH105" i="1"/>
  <c r="BE105" i="1" s="1"/>
  <c r="AH106" i="1"/>
  <c r="BE106" i="1" s="1"/>
  <c r="AH107" i="1"/>
  <c r="BE107" i="1" s="1"/>
  <c r="AH108" i="1"/>
  <c r="BE108" i="1" s="1"/>
  <c r="AH109" i="1"/>
  <c r="BE109" i="1" s="1"/>
  <c r="AH3" i="1"/>
  <c r="BD42" i="1" l="1"/>
  <c r="BD43" i="1"/>
  <c r="BD44" i="1"/>
  <c r="BD45" i="1" s="1"/>
  <c r="BD41" i="1"/>
  <c r="C47" i="1" l="1"/>
  <c r="D47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O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P46" i="1" s="1"/>
  <c r="AJ46" i="1"/>
  <c r="AK46" i="1"/>
  <c r="AL46" i="1"/>
  <c r="AM46" i="1"/>
  <c r="AG37" i="1"/>
  <c r="AG38" i="1" s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AA46" i="1"/>
  <c r="AB46" i="1"/>
  <c r="AC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Z46" i="1" s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6" i="1" l="1"/>
  <c r="AD46" i="1"/>
  <c r="AQ45" i="1"/>
  <c r="AD45" i="1"/>
  <c r="AQ44" i="1"/>
  <c r="AQ43" i="1"/>
  <c r="AD43" i="1"/>
  <c r="AQ42" i="1"/>
  <c r="AD42" i="1"/>
  <c r="AP42" i="1"/>
  <c r="Z42" i="1"/>
  <c r="AQ41" i="1"/>
  <c r="AQ40" i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H25" i="1" s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H24" i="1" s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B65" i="1"/>
  <c r="AC65" i="1"/>
  <c r="AE65" i="1"/>
  <c r="AB66" i="1"/>
  <c r="AC66" i="1"/>
  <c r="AE66" i="1"/>
  <c r="AB67" i="1"/>
  <c r="AC67" i="1"/>
  <c r="AE67" i="1"/>
  <c r="AB68" i="1"/>
  <c r="AC68" i="1"/>
  <c r="AE68" i="1"/>
  <c r="AB69" i="1"/>
  <c r="AC69" i="1"/>
  <c r="AE69" i="1"/>
  <c r="AB70" i="1"/>
  <c r="AC70" i="1"/>
  <c r="AE70" i="1"/>
  <c r="AB71" i="1"/>
  <c r="AC71" i="1"/>
  <c r="AE71" i="1"/>
  <c r="AB72" i="1"/>
  <c r="AC72" i="1"/>
  <c r="AE72" i="1"/>
  <c r="AB73" i="1"/>
  <c r="AC73" i="1"/>
  <c r="AE73" i="1"/>
  <c r="AB74" i="1"/>
  <c r="AC74" i="1"/>
  <c r="AE74" i="1"/>
  <c r="AB75" i="1"/>
  <c r="AC75" i="1"/>
  <c r="AE75" i="1"/>
  <c r="AB76" i="1"/>
  <c r="AC76" i="1"/>
  <c r="AE76" i="1"/>
  <c r="AB77" i="1"/>
  <c r="AC77" i="1"/>
  <c r="AE77" i="1"/>
  <c r="AB78" i="1"/>
  <c r="AC78" i="1"/>
  <c r="AE78" i="1"/>
  <c r="AB79" i="1"/>
  <c r="AC79" i="1"/>
  <c r="AE79" i="1"/>
  <c r="AB80" i="1"/>
  <c r="AC80" i="1"/>
  <c r="AE80" i="1"/>
  <c r="AB81" i="1"/>
  <c r="AC81" i="1"/>
  <c r="AE81" i="1"/>
  <c r="AB82" i="1"/>
  <c r="AC82" i="1"/>
  <c r="AE82" i="1"/>
  <c r="AB83" i="1"/>
  <c r="AC83" i="1"/>
  <c r="AE83" i="1"/>
  <c r="AB84" i="1"/>
  <c r="AC84" i="1"/>
  <c r="AE84" i="1"/>
  <c r="AB85" i="1"/>
  <c r="AC85" i="1"/>
  <c r="AE85" i="1"/>
  <c r="AB86" i="1"/>
  <c r="AC86" i="1"/>
  <c r="AE86" i="1"/>
  <c r="AB87" i="1"/>
  <c r="AC87" i="1"/>
  <c r="AE87" i="1"/>
  <c r="AB88" i="1"/>
  <c r="AC88" i="1"/>
  <c r="AE88" i="1"/>
  <c r="AB89" i="1"/>
  <c r="AC89" i="1"/>
  <c r="AE89" i="1"/>
  <c r="AB90" i="1"/>
  <c r="AC90" i="1"/>
  <c r="AE90" i="1"/>
  <c r="AB91" i="1"/>
  <c r="AC91" i="1"/>
  <c r="AE91" i="1"/>
  <c r="AB92" i="1"/>
  <c r="AC92" i="1"/>
  <c r="AE92" i="1"/>
  <c r="AB93" i="1"/>
  <c r="AC93" i="1"/>
  <c r="AE93" i="1"/>
  <c r="AB94" i="1"/>
  <c r="AC94" i="1"/>
  <c r="AE94" i="1"/>
  <c r="AB95" i="1"/>
  <c r="AC95" i="1"/>
  <c r="AE95" i="1"/>
  <c r="AB96" i="1"/>
  <c r="AC96" i="1"/>
  <c r="AE96" i="1"/>
  <c r="AB97" i="1"/>
  <c r="AC97" i="1"/>
  <c r="AE97" i="1"/>
  <c r="AB98" i="1"/>
  <c r="AC98" i="1"/>
  <c r="AE98" i="1"/>
  <c r="AB99" i="1"/>
  <c r="AC99" i="1"/>
  <c r="AE99" i="1"/>
  <c r="AB100" i="1"/>
  <c r="AC100" i="1"/>
  <c r="AE100" i="1"/>
  <c r="AB101" i="1"/>
  <c r="AC101" i="1"/>
  <c r="AE101" i="1"/>
  <c r="AB102" i="1"/>
  <c r="AC102" i="1"/>
  <c r="AE102" i="1"/>
  <c r="AB103" i="1"/>
  <c r="AC103" i="1"/>
  <c r="AE103" i="1"/>
  <c r="AB104" i="1"/>
  <c r="AC104" i="1"/>
  <c r="AE104" i="1"/>
  <c r="AB105" i="1"/>
  <c r="AC105" i="1"/>
  <c r="AE105" i="1"/>
  <c r="AB106" i="1"/>
  <c r="AC106" i="1"/>
  <c r="AE106" i="1"/>
  <c r="AB107" i="1"/>
  <c r="AC107" i="1"/>
  <c r="AE107" i="1"/>
  <c r="AB108" i="1"/>
  <c r="AC108" i="1"/>
  <c r="AE108" i="1"/>
  <c r="AB109" i="1"/>
  <c r="AC109" i="1"/>
  <c r="AE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AH9" i="1" s="1"/>
  <c r="BE9" i="1" s="1"/>
  <c r="Z58" i="1"/>
  <c r="Z50" i="1"/>
  <c r="Z32" i="1"/>
  <c r="Z24" i="1"/>
  <c r="Z16" i="1"/>
  <c r="Z8" i="1"/>
  <c r="AH8" i="1" s="1"/>
  <c r="BE8" i="1" s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H66" i="1" s="1"/>
  <c r="BE66" i="1" s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AH65" i="1" s="1"/>
  <c r="BE65" i="1" s="1"/>
  <c r="Z11" i="1"/>
  <c r="AH11" i="1" s="1"/>
  <c r="BE11" i="1" s="1"/>
  <c r="Z5" i="1"/>
  <c r="C53" i="1" l="1"/>
  <c r="AF41" i="1"/>
  <c r="AG42" i="1"/>
  <c r="C5" i="1"/>
  <c r="AE5" i="1" s="1"/>
  <c r="AE4" i="1"/>
  <c r="AG7" i="1"/>
  <c r="AF6" i="1"/>
  <c r="C9" i="1"/>
  <c r="C18" i="1"/>
  <c r="C54" i="1" l="1"/>
  <c r="AE53" i="1"/>
  <c r="AG43" i="1"/>
  <c r="AF42" i="1"/>
  <c r="C19" i="1"/>
  <c r="C20" i="1" s="1"/>
  <c r="AG8" i="1"/>
  <c r="AF7" i="1"/>
  <c r="C55" i="1" l="1"/>
  <c r="AE54" i="1"/>
  <c r="AF43" i="1"/>
  <c r="AE43" i="1" s="1"/>
  <c r="AG44" i="1"/>
  <c r="AG9" i="1"/>
  <c r="AF8" i="1"/>
  <c r="AE8" i="1" s="1"/>
  <c r="C21" i="1"/>
  <c r="AE20" i="1"/>
  <c r="C56" i="1" l="1"/>
  <c r="AE55" i="1"/>
  <c r="AF44" i="1"/>
  <c r="AG45" i="1"/>
  <c r="C22" i="1"/>
  <c r="C23" i="1" s="1"/>
  <c r="AG10" i="1"/>
  <c r="AF9" i="1"/>
  <c r="AE9" i="1" s="1"/>
  <c r="C57" i="1" l="1"/>
  <c r="C58" i="1" s="1"/>
  <c r="AE56" i="1"/>
  <c r="AG46" i="1"/>
  <c r="AF45" i="1"/>
  <c r="AG11" i="1"/>
  <c r="AF10" i="1"/>
  <c r="C24" i="1"/>
  <c r="AF46" i="1" l="1"/>
  <c r="AE46" i="1" s="1"/>
  <c r="AG47" i="1"/>
  <c r="C59" i="1"/>
  <c r="AE58" i="1"/>
  <c r="C25" i="1"/>
  <c r="AE24" i="1"/>
  <c r="AG12" i="1"/>
  <c r="AF11" i="1"/>
  <c r="C60" i="1" l="1"/>
  <c r="AE59" i="1"/>
  <c r="AG13" i="1"/>
  <c r="AF12" i="1"/>
  <c r="C26" i="1"/>
  <c r="C61" i="1" l="1"/>
  <c r="C62" i="1" s="1"/>
  <c r="AE60" i="1"/>
  <c r="C27" i="1"/>
  <c r="AG14" i="1"/>
  <c r="AF13" i="1"/>
  <c r="C63" i="1" l="1"/>
  <c r="AE62" i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C29" i="1"/>
  <c r="AG16" i="1"/>
  <c r="AF15" i="1"/>
  <c r="AG17" i="1" l="1"/>
  <c r="AF16" i="1"/>
  <c r="AE16" i="1" s="1"/>
  <c r="C30" i="1"/>
  <c r="C31" i="1" l="1"/>
  <c r="C32" i="1" s="1"/>
  <c r="AG18" i="1"/>
  <c r="AF17" i="1"/>
  <c r="AE17" i="1" s="1"/>
  <c r="AG19" i="1" l="1"/>
  <c r="AF18" i="1"/>
  <c r="AE18" i="1" s="1"/>
  <c r="C33" i="1"/>
  <c r="C34" i="1" l="1"/>
  <c r="AE33" i="1"/>
  <c r="AG20" i="1"/>
  <c r="AF19" i="1"/>
  <c r="AG21" i="1" l="1"/>
  <c r="AF20" i="1"/>
  <c r="C35" i="1"/>
  <c r="AE34" i="1"/>
  <c r="C36" i="1" l="1"/>
  <c r="AE36" i="1" s="1"/>
  <c r="AE35" i="1"/>
  <c r="AG22" i="1"/>
  <c r="AF21" i="1"/>
  <c r="AE21" i="1" s="1"/>
  <c r="AG23" i="1" l="1"/>
  <c r="AF22" i="1"/>
  <c r="AG24" i="1" l="1"/>
  <c r="AF23" i="1"/>
  <c r="AE23" i="1" s="1"/>
  <c r="AG25" i="1" l="1"/>
  <c r="AF24" i="1"/>
  <c r="AG26" i="1" l="1"/>
  <c r="AF25" i="1"/>
  <c r="AE25" i="1" s="1"/>
  <c r="AG27" i="1" l="1"/>
  <c r="AF26" i="1"/>
  <c r="AE26" i="1" s="1"/>
  <c r="AG28" i="1" l="1"/>
  <c r="AF27" i="1"/>
  <c r="AE27" i="1" s="1"/>
  <c r="AG29" i="1" l="1"/>
  <c r="AF28" i="1"/>
  <c r="AE28" i="1" s="1"/>
  <c r="AG30" i="1" l="1"/>
  <c r="AF29" i="1"/>
  <c r="AE29" i="1" s="1"/>
  <c r="AG31" i="1" l="1"/>
  <c r="AF30" i="1"/>
  <c r="AE30" i="1" s="1"/>
  <c r="AG32" i="1" l="1"/>
  <c r="AF31" i="1"/>
  <c r="AG33" i="1" l="1"/>
  <c r="AF32" i="1"/>
  <c r="AE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<sst xmlns="http://schemas.openxmlformats.org/spreadsheetml/2006/main" count="973" uniqueCount="311">
  <si>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</si>
  <si>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</si>
  <si>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</si>
  <si>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</si>
  <si>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</si>
  <si>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</si>
  <si>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</si>
  <si>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</si>
  <si>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</si>
  <si>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</si>
  <si>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</si>
  <si>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</si>
  <si>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</si>
  <si>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</si>
  <si>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</si>
  <si>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</si>
  <si>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</si>
  <si>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</si>
  <si>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</si>
  <si>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</si>
  <si>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</si>
  <si>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</si>
  <si>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</si>
  <si>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</si>
  <si>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</si>
  <si>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</si>
  <si>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</si>
  <si>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</si>
  <si>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</si>
  <si>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</si>
  <si>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</si>
  <si>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</si>
  <si>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</si>
  <si>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</si>
  <si>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</si>
  <si>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</si>
  <si>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</si>
  <si>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</si>
  <si>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</si>
  <si>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</si>
  <si>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</si>
  <si>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</si>
  <si>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</si>
  <si>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</si>
  <si>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</si>
  <si>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</si>
  <si>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</si>
  <si>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</si>
  <si>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</si>
  <si>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</si>
  <si>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</si>
  <si>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</si>
  <si>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</si>
  <si>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</si>
  <si>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</si>
  <si>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</si>
  <si>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</si>
  <si>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</si>
  <si>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</si>
  <si>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</si>
  <si>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</si>
  <si>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</si>
  <si>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</si>
  <si>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</si>
  <si>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</si>
  <si>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</si>
  <si>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</si>
  <si>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</si>
  <si>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</si>
  <si>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</si>
  <si>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</si>
  <si>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</si>
  <si>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</si>
  <si>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</si>
  <si>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</si>
  <si>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</si>
  <si>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</si>
  <si>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</si>
  <si>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</si>
  <si>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</si>
  <si>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</si>
  <si>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</si>
  <si>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</si>
  <si>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</si>
  <si>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</si>
  <si>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</si>
  <si>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</si>
  <si>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</si>
  <si>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</si>
  <si>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</si>
  <si>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</si>
  <si>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</si>
  <si>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</si>
  <si>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</si>
  <si>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</si>
  <si>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</si>
  <si>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</si>
  <si>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</si>
  <si>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</si>
  <si>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</si>
  <si>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</si>
  <si>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</si>
  <si>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</si>
  <si>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</si>
  <si>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</si>
  <si>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</si>
  <si>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</si>
  <si>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</si>
  <si>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</si>
  <si>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</si>
  <si>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</si>
  <si>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</si>
  <si>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</si>
  <si>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</si>
  <si>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</si>
  <si>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</si>
  <si>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</si>
  <si>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</si>
  <si>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</si>
  <si>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</si>
  <si>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</si>
  <si>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</si>
  <si>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</si>
  <si>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</si>
  <si>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</si>
  <si>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</si>
  <si>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</si>
  <si>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</si>
  <si>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</si>
  <si>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</si>
  <si>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</si>
  <si>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</si>
  <si>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</si>
  <si>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</si>
  <si>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</si>
  <si>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</si>
  <si>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</si>
  <si>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</si>
  <si>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</si>
  <si>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</si>
  <si>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</si>
  <si>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</si>
  <si>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</si>
  <si>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</si>
  <si>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</si>
  <si>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</si>
  <si>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</si>
  <si>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</si>
  <si>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</si>
  <si>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</si>
  <si>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</si>
  <si>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</si>
  <si>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</si>
  <si>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</si>
  <si>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</si>
  <si>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</si>
  <si>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</si>
  <si>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</si>
  <si>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</si>
  <si>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</si>
  <si>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</si>
  <si>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</si>
  <si>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</si>
  <si>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</si>
  <si>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</si>
  <si>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</si>
  <si>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</si>
  <si>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</si>
  <si>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</si>
  <si>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</si>
  <si>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</si>
  <si>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</si>
  <si>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</si>
  <si>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</si>
  <si>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</si>
  <si>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</si>
  <si>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</si>
  <si>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</si>
  <si>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</si>
  <si>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</si>
  <si>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</si>
  <si>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</si>
  <si>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</si>
  <si>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</si>
  <si>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</si>
  <si>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</si>
  <si>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</si>
  <si>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</si>
  <si>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</si>
  <si>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</si>
  <si>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</si>
  <si>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</si>
  <si>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</si>
  <si>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</si>
  <si>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</si>
  <si>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</si>
  <si>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</si>
  <si>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</si>
  <si>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</si>
  <si>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</si>
  <si>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</si>
  <si>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</si>
  <si>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</si>
  <si>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</si>
  <si>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</si>
  <si>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</si>
  <si>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</si>
  <si>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</si>
  <si>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</si>
  <si>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</si>
  <si>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</si>
  <si>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</si>
  <si>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</si>
  <si>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</si>
  <si>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</si>
  <si>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</si>
  <si>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</si>
  <si>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</si>
  <si>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</si>
  <si>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</si>
  <si>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</si>
  <si>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</si>
  <si>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</si>
  <si>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</si>
  <si>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</si>
  <si>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</si>
  <si>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</si>
  <si>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</si>
  <si>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</si>
  <si>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</si>
  <si>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</si>
  <si>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</si>
  <si>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</si>
  <si>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</si>
  <si>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</si>
  <si>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</si>
  <si>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</si>
  <si>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</si>
  <si>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</si>
  <si>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</si>
  <si>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</si>
  <si>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</si>
  <si>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</si>
  <si>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</si>
  <si>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</si>
  <si>
    <t>L</t>
  </si>
  <si>
    <t>M</t>
  </si>
  <si>
    <t>Wheel</t>
  </si>
  <si>
    <t>plain</t>
  </si>
  <si>
    <t>grabber pan</t>
  </si>
  <si>
    <t>key</t>
  </si>
  <si>
    <t>c-space</t>
  </si>
  <si>
    <t>last screen</t>
  </si>
  <si>
    <t>shift</t>
  </si>
  <si>
    <t>not now</t>
  </si>
  <si>
    <t>c-C</t>
  </si>
  <si>
    <t>c-V</t>
  </si>
  <si>
    <t>c-X</t>
  </si>
  <si>
    <t>c-Z</t>
  </si>
  <si>
    <t>c-Y</t>
  </si>
  <si>
    <t>bigscreen</t>
  </si>
  <si>
    <t>shift select - it's box selection</t>
  </si>
  <si>
    <t>imagename</t>
  </si>
  <si>
    <t>blocksheet0-_02.png</t>
  </si>
  <si>
    <t>blocksheet0-_03.png</t>
  </si>
  <si>
    <t>blocksheet0-_04.png</t>
  </si>
  <si>
    <t>blocksheet0-_05.png</t>
  </si>
  <si>
    <t>blocksheet0-_14.png</t>
  </si>
  <si>
    <t>blocksheet0-_11.png</t>
  </si>
  <si>
    <t>blocksheet0-_09.png</t>
  </si>
  <si>
    <t>vertpipe</t>
  </si>
  <si>
    <t>protocoords</t>
  </si>
  <si>
    <t>blocksheet1_01.png</t>
  </si>
  <si>
    <t>blocksheet1_02.png</t>
  </si>
  <si>
    <t>blocksheet1_03.png</t>
  </si>
  <si>
    <t>blocksheet1_04.png</t>
  </si>
  <si>
    <t>blocksheet1_05.png</t>
  </si>
  <si>
    <t>blocksheet1_06.png</t>
  </si>
  <si>
    <t>blocksheet1_07.png</t>
  </si>
  <si>
    <t>blocksheet1_09.png</t>
  </si>
  <si>
    <t>blocksheet1_13.png</t>
  </si>
  <si>
    <t>blocksheet1_14.png</t>
  </si>
  <si>
    <t>blocksheet1_10.png</t>
  </si>
  <si>
    <t>blocksheet1_15.png</t>
  </si>
  <si>
    <t>blocksheet1_11.png</t>
  </si>
  <si>
    <t>blocksheet1_16.png</t>
  </si>
  <si>
    <t>blocksheet1_17.png</t>
  </si>
  <si>
    <t>blocksheet0-_08.png</t>
  </si>
  <si>
    <t>blocksheet0-_21.png</t>
  </si>
  <si>
    <t>blocksheet0-_33.png</t>
  </si>
  <si>
    <t>blocksheet0-_18.png</t>
  </si>
  <si>
    <t>blocksheet0-_15.png</t>
  </si>
  <si>
    <t>blocksheet0-_29.png</t>
  </si>
  <si>
    <t>blocksheet0-_32.png</t>
  </si>
  <si>
    <t>blocksheet0-_31.png</t>
  </si>
  <si>
    <t>name</t>
  </si>
  <si>
    <t>combining</t>
  </si>
  <si>
    <t>imgadd</t>
  </si>
  <si>
    <t>Ox = (Ax+Bx), for each channel x in the image (r,g,b, or grey)</t>
  </si>
  <si>
    <t>imgmax</t>
  </si>
  <si>
    <t>takes the channel values from whichever image has R+G+B greatest</t>
  </si>
  <si>
    <t>% = FloFlipFlop.newFlipFlop();</t>
  </si>
  <si>
    <t>FloRT.if($Cond, $A, $B, #O);</t>
  </si>
  <si>
    <t>%.pulse(#O);</t>
  </si>
  <si>
    <t>FloRT.isolate($A, $Default, #O);</t>
  </si>
  <si>
    <t>Name</t>
  </si>
  <si>
    <t>% = FloInput($Name);</t>
  </si>
  <si>
    <t>FloRT.input(%, #O);</t>
  </si>
  <si>
    <t>% = FloOutput($Name);</t>
  </si>
  <si>
    <t>FloRT.output($A, %, $Name);</t>
  </si>
  <si>
    <t>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</si>
</sst>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0" borderId="0" xfId="0" applyFill="1" applyAlignment="1">
      <alignment wrapText="1"/>
    </xf>
    <xf numFmtId="0" fontId="0" fillId="0" borderId="6" xfId="0" applyFill="1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2" xfId="0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3" xfId="0" applyFill="1" applyBorder="1" applyAlignment="1">
      <alignment wrapText="1"/>
    </xf>
    <xf numFmtId="0" fontId="0" fillId="0" borderId="5" xfId="0" applyFill="1" applyBorder="1" applyAlignment="1">
      <alignment wrapText="1"/>
    </xf>
    <xf numFmtId="0" fontId="0" fillId="0" borderId="4" xfId="0" applyFill="1" applyBorder="1" applyAlignment="1">
      <alignment wrapText="1"/>
    </xf>
    <xf numFmtId="0" fontId="0" fillId="0" borderId="7" xfId="0" applyFill="1" applyBorder="1" applyAlignment="1">
      <alignment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17"/>
  <sheetViews>
    <sheetView tabSelected="1" topLeftCell="AX1" zoomScale="90" zoomScaleNormal="90" workbookViewId="0">
      <pane xSplit="12120" ySplit="495" topLeftCell="A50" activePane="bottomLeft"/>
      <selection activeCell="J11" sqref="J11"/>
      <selection pane="topRight" activeCell="BE1" sqref="BE1"/>
      <selection pane="bottomLeft" activeCell="BB68" sqref="BB68"/>
      <selection pane="bottomRight" activeCell="A105" sqref="A105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17.28515625" style="1" bestFit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9.28515625" customWidth="1"/>
    <col min="46" max="46" width="87.7109375" customWidth="1"/>
    <col min="54" max="54" width="21.28515625" customWidth="1"/>
    <col min="57" max="57" width="41.28515625" customWidth="1"/>
  </cols>
  <sheetData>
    <row r="1" spans="1:57" ht="14.25" customHeight="1" x14ac:dyDescent="0.2">
      <c r="A1" s="2" t="s">
        <v>0</v>
      </c>
      <c r="F1" s="23" t="s">
        <v>1</v>
      </c>
      <c r="G1" s="23"/>
      <c r="H1" s="23"/>
      <c r="I1" s="23"/>
      <c r="J1" s="23" t="s">
        <v>156</v>
      </c>
      <c r="K1" s="23"/>
      <c r="L1" s="23"/>
      <c r="M1" s="23"/>
      <c r="N1" s="23" t="s">
        <v>2</v>
      </c>
      <c r="O1" s="23"/>
      <c r="P1" s="23"/>
      <c r="Q1" s="23" t="s">
        <v>157</v>
      </c>
      <c r="R1" s="23"/>
      <c r="S1" s="23"/>
      <c r="T1" s="2" t="s">
        <v>3</v>
      </c>
      <c r="U1" s="2" t="s">
        <v>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262</v>
      </c>
      <c r="BC1" s="24" t="s">
        <v>271</v>
      </c>
      <c r="BD1" s="24"/>
      <c r="BE1" t="s">
        <v>164</v>
      </c>
    </row>
    <row r="2" spans="1:5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"&amp;AQ3&amp;").&lt;&gt;"&amp;IF(OR(ISBLANK(E3),ISBLANK(BB3)),"","image_name("&amp;E3&amp;", '/img/blocks/"&amp;BB3&amp;"').&lt;&gt;"))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[object]).&lt;&gt;image_name(if, '/img/blocks/blocksheet0-_21.png').&lt;&gt;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302</v>
      </c>
      <c r="AW3">
        <v>0</v>
      </c>
      <c r="AX3">
        <v>0</v>
      </c>
      <c r="AY3">
        <v>2</v>
      </c>
      <c r="AZ3">
        <v>1</v>
      </c>
      <c r="BA3">
        <v>1</v>
      </c>
      <c r="BB3" t="s">
        <v>288</v>
      </c>
      <c r="BC3">
        <v>22</v>
      </c>
      <c r="BD3">
        <v>0</v>
      </c>
      <c r="BE3" t="str">
        <f>AH3&amp;IF(OR(ISBLANK(E3),ISBLANK(BC3)), "", "prototype_coordinates("&amp;E3&amp;", "&amp;BC3&amp;", "&amp;BD3&amp;").&lt;&gt;icon_size("&amp;E3&amp;", "&amp;AZ3&amp;", "&amp;BA3&amp;").&lt;&gt;")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[object]).&lt;&gt;image_name(if, '/img/blocks/blocksheet0-_21.png').&lt;&gt;prototype_coordinates(if, 22, 0).&lt;&gt;icon_size(if, 1, 1).&lt;&gt;</v>
      </c>
    </row>
    <row r="4" spans="1:5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7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"&amp;AQ4&amp;").&lt;&gt;"&amp;IF(OR(ISBLANK(E4),ISBLANK(BB4)),"","image_name("&amp;E4&amp;", '/img/blocks/"&amp;BB4&amp;"').&lt;&gt;"))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[object]).&lt;&gt;image_name(ifvar, '/img/blocks/blocksheet0-_33.png').&lt;&gt;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302</v>
      </c>
      <c r="AW4">
        <v>0</v>
      </c>
      <c r="AX4">
        <v>1</v>
      </c>
      <c r="AY4">
        <v>2</v>
      </c>
      <c r="AZ4">
        <v>1</v>
      </c>
      <c r="BA4">
        <v>1</v>
      </c>
      <c r="BB4" t="s">
        <v>289</v>
      </c>
      <c r="BC4">
        <v>22</v>
      </c>
      <c r="BD4">
        <v>1</v>
      </c>
      <c r="BE4" t="str">
        <f t="shared" ref="BE4:BE67" si="24">AH4&amp;IF(OR(ISBLANK(E4),ISBLANK(BC4)), "", "prototype_coordinates("&amp;E4&amp;", "&amp;BC4&amp;", "&amp;BD4&amp;").&lt;&gt;icon_size("&amp;E4&amp;", "&amp;AZ4&amp;", "&amp;BA4&amp;").&lt;&gt;")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[object]).&lt;&gt;image_name(ifvar, '/img/blocks/blocksheet0-_33.png').&lt;&gt;prototype_coordinates(ifvar, 22, 1).&lt;&gt;icon_size(ifvar, 1, 1).&lt;&gt;</v>
      </c>
    </row>
    <row r="5" spans="1:5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5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 t="s">
        <v>301</v>
      </c>
      <c r="AT5" t="s">
        <v>303</v>
      </c>
      <c r="BB5" t="s">
        <v>272</v>
      </c>
      <c r="BC5">
        <v>22</v>
      </c>
      <c r="BD5">
        <v>2</v>
      </c>
      <c r="BE5" t="str">
        <f t="shared" si="2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'/img/blocks/blocksheet1_01.png').&lt;&gt;prototype_coordinates(flipflop, 22, 2).&lt;&gt;icon_size(flipflop, , ).&lt;&gt;</v>
      </c>
    </row>
    <row r="6" spans="1:5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5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  <c r="BE6" t="str">
        <f t="shared" si="24"/>
        <v/>
      </c>
    </row>
    <row r="7" spans="1:5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5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[object]).&lt;&gt;image_name(isolate, '/img/blocks/blocksheet0-_18.png').&lt;&gt;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T7" t="s">
        <v>304</v>
      </c>
      <c r="AW7">
        <v>0</v>
      </c>
      <c r="AX7">
        <v>2</v>
      </c>
      <c r="AY7">
        <v>2</v>
      </c>
      <c r="AZ7">
        <v>1</v>
      </c>
      <c r="BA7">
        <v>1</v>
      </c>
      <c r="BB7" t="s">
        <v>290</v>
      </c>
      <c r="BC7">
        <v>22</v>
      </c>
      <c r="BD7">
        <v>3</v>
      </c>
      <c r="BE7" t="str">
        <f t="shared" si="2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[object]).&lt;&gt;image_name(isolate, '/img/blocks/blocksheet0-_18.png').&lt;&gt;prototype_coordinates(isolate, 22, 3).&lt;&gt;icon_size(isolate, 1, 1).&lt;&gt;</v>
      </c>
    </row>
    <row r="8" spans="1:5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F8" s="2" t="s">
        <v>305</v>
      </c>
      <c r="I8" s="3"/>
      <c r="J8" s="10" t="s">
        <v>162</v>
      </c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[required('Name')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[required('Name')]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5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[required('Name')]).&lt;&gt;outputs(inputparam, ['O']).&lt;&gt;input_types(inputparam, [string]).&lt;&gt;output_types(inputparam, [object]).&lt;&gt;image_name(inputparam, '/img/blocks/blocksheet0-_15.png').&lt;&gt;</v>
      </c>
      <c r="AI8" t="str">
        <f t="shared" si="15"/>
        <v>[string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[string]</v>
      </c>
      <c r="AQ8" t="str">
        <f t="shared" si="23"/>
        <v>[object]</v>
      </c>
      <c r="AS8" t="s">
        <v>306</v>
      </c>
      <c r="AT8" t="s">
        <v>307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  <c r="BB8" t="s">
        <v>291</v>
      </c>
      <c r="BC8">
        <v>22</v>
      </c>
      <c r="BD8">
        <v>4</v>
      </c>
      <c r="BE8" t="str">
        <f t="shared" si="2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[required('Name')]).&lt;&gt;outputs(inputparam, ['O']).&lt;&gt;input_types(inputparam, [string]).&lt;&gt;output_types(inputparam, [object]).&lt;&gt;image_name(inputparam, '/img/blocks/blocksheet0-_15.png').&lt;&gt;prototype_coordinates(inputparam, 22, 4).&lt;&gt;icon_size(inputparam, 1, 1).&lt;&gt;</v>
      </c>
    </row>
    <row r="9" spans="1:5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G9" s="2" t="s">
        <v>305</v>
      </c>
      <c r="I9" s="3"/>
      <c r="J9" s="10" t="s">
        <v>161</v>
      </c>
      <c r="K9" s="10" t="s">
        <v>162</v>
      </c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>, required('Name')</v>
      </c>
      <c r="X9" s="9" t="str">
        <f t="shared" si="5"/>
        <v/>
      </c>
      <c r="Y9" s="9" t="str">
        <f t="shared" si="6"/>
        <v/>
      </c>
      <c r="Z9" t="str">
        <f t="shared" si="7"/>
        <v>[required('A'), required('Name')]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5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[required('A'), required('Name')]).&lt;&gt;outputs(outputparam, []).&lt;&gt;input_types(outputparam, [object, string]).&lt;&gt;output_types(outputparam, []).&lt;&gt;image_name(outputparam, '/img/blocks/blocksheet0-_29.png').&lt;&gt;</v>
      </c>
      <c r="AI9" t="str">
        <f t="shared" si="15"/>
        <v>[object</v>
      </c>
      <c r="AJ9" t="str">
        <f t="shared" si="16"/>
        <v>, string</v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[object, string]</v>
      </c>
      <c r="AQ9" t="str">
        <f t="shared" si="23"/>
        <v>[]</v>
      </c>
      <c r="AS9" t="s">
        <v>308</v>
      </c>
      <c r="AT9" t="s">
        <v>309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  <c r="BB9" t="s">
        <v>292</v>
      </c>
      <c r="BC9">
        <v>22</v>
      </c>
      <c r="BD9">
        <v>5</v>
      </c>
      <c r="BE9" t="str">
        <f t="shared" si="2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[required('A'), required('Name')]).&lt;&gt;outputs(outputparam, []).&lt;&gt;input_types(outputparam, [object, string]).&lt;&gt;output_types(outputparam, []).&lt;&gt;image_name(outputparam, '/img/blocks/blocksheet0-_29.png').&lt;&gt;prototype_coordinates(outputparam, 22, 5).&lt;&gt;icon_size(outputparam, 1, 1).&lt;&gt;</v>
      </c>
    </row>
    <row r="10" spans="1:5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5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  <c r="BE10" t="str">
        <f t="shared" si="24"/>
        <v/>
      </c>
    </row>
    <row r="11" spans="1:5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310</v>
      </c>
      <c r="G11" s="2" t="s">
        <v>8</v>
      </c>
      <c r="H11" s="2" t="s">
        <v>9</v>
      </c>
      <c r="I11" s="3" t="s">
        <v>158</v>
      </c>
      <c r="J11" s="10" t="s">
        <v>162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[required('Formula')</v>
      </c>
      <c r="W11" s="9" t="str">
        <f t="shared" si="4"/>
        <v>, required('A')</v>
      </c>
      <c r="X11" s="9" t="str">
        <f t="shared" si="5"/>
        <v>, required('B')</v>
      </c>
      <c r="Y11" s="9" t="str">
        <f t="shared" si="6"/>
        <v>, required('C')</v>
      </c>
      <c r="Z11" t="str">
        <f t="shared" si="7"/>
        <v>[required('Formula'), required('A'), required('B')]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5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[required('Formula'), required('A'), required('B')]).&lt;&gt;outputs(func, ['O']).&lt;&gt;input_types(func, [string, scalar, scalar, scalar]).&lt;&gt;output_types(func, [object]).&lt;&gt;image_name(func, '/img/blocks/blocksheet0-_32.png').&lt;&gt;</v>
      </c>
      <c r="AI11" t="str">
        <f t="shared" si="15"/>
        <v>[string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[string,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  <c r="BB11" t="s">
        <v>293</v>
      </c>
      <c r="BC11">
        <v>23</v>
      </c>
      <c r="BD11">
        <v>0</v>
      </c>
      <c r="BE11" t="str">
        <f t="shared" si="2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[required('Formula'), required('A'), required('B')]).&lt;&gt;outputs(func, ['O']).&lt;&gt;input_types(func, [string, scalar, scalar, scalar]).&lt;&gt;output_types(func, [object]).&lt;&gt;image_name(func, '/img/blocks/blocksheet0-_32.png').&lt;&gt;prototype_coordinates(func, 23, 0).&lt;&gt;icon_size(func, 2, 1).&lt;&gt;</v>
      </c>
    </row>
    <row r="12" spans="1:5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5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  <c r="BE12" t="str">
        <f t="shared" si="24"/>
        <v/>
      </c>
    </row>
    <row r="13" spans="1:5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5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[object]).&lt;&gt;image_name(delay, '/img/blocks/blocksheet0-_31.png').&lt;&gt;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  <c r="BB13" t="s">
        <v>294</v>
      </c>
      <c r="BC13">
        <v>23</v>
      </c>
      <c r="BD13">
        <v>1</v>
      </c>
      <c r="BE13" t="str">
        <f t="shared" si="2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[object]).&lt;&gt;image_name(delay, '/img/blocks/blocksheet0-_31.png').&lt;&gt;prototype_coordinates(delay, 23, 1).&lt;&gt;icon_size(delay, 1, 1).&lt;&gt;</v>
      </c>
    </row>
    <row r="14" spans="1:5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5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  <c r="BE14" t="str">
        <f t="shared" si="24"/>
        <v/>
      </c>
    </row>
    <row r="15" spans="1:5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5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  <c r="BE15" t="str">
        <f t="shared" si="24"/>
        <v/>
      </c>
    </row>
    <row r="16" spans="1:5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5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  <c r="AZ16">
        <v>1</v>
      </c>
      <c r="BA16">
        <v>1</v>
      </c>
      <c r="BB16" t="s">
        <v>272</v>
      </c>
      <c r="BC16">
        <v>21</v>
      </c>
      <c r="BD16">
        <v>0</v>
      </c>
      <c r="BE16" t="str">
        <f t="shared" si="2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'/img/blocks/blocksheet1_01.png').&lt;&gt;prototype_coordinates(pulse, 21, 0).&lt;&gt;icon_size(pulse, 1, 1).&lt;&gt;</v>
      </c>
    </row>
    <row r="17" spans="2:57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5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  <c r="AZ17">
        <v>1</v>
      </c>
      <c r="BA17">
        <v>1</v>
      </c>
      <c r="BB17" t="s">
        <v>273</v>
      </c>
      <c r="BC17">
        <v>21</v>
      </c>
      <c r="BD17">
        <f>BD16+1</f>
        <v>1</v>
      </c>
      <c r="BE17" t="str">
        <f t="shared" si="2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'/img/blocks/blocksheet1_02.png').&lt;&gt;prototype_coordinates(proportion, 21, 1).&lt;&gt;icon_size(proportion, 1, 1).&lt;&gt;</v>
      </c>
    </row>
    <row r="18" spans="2:57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5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  <c r="AZ18">
        <v>1</v>
      </c>
      <c r="BA18">
        <v>1</v>
      </c>
      <c r="BB18" t="s">
        <v>274</v>
      </c>
      <c r="BC18">
        <v>21</v>
      </c>
      <c r="BD18">
        <f>BD17+1</f>
        <v>2</v>
      </c>
      <c r="BE18" t="str">
        <f t="shared" si="2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'/img/blocks/blocksheet1_03.png').&lt;&gt;prototype_coordinates(floatval, 21, 2).&lt;&gt;icon_size(floatval, 1, 1).&lt;&gt;</v>
      </c>
    </row>
    <row r="19" spans="2:57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5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  <c r="BE19" t="str">
        <f t="shared" si="24"/>
        <v/>
      </c>
    </row>
    <row r="20" spans="2:57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5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  <c r="AZ20">
        <v>1</v>
      </c>
      <c r="BA20">
        <v>1</v>
      </c>
      <c r="BB20" t="s">
        <v>275</v>
      </c>
      <c r="BC20">
        <v>21</v>
      </c>
      <c r="BD20">
        <v>3</v>
      </c>
      <c r="BE20" t="str">
        <f t="shared" si="2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'/img/blocks/blocksheet1_04.png').&lt;&gt;prototype_coordinates(mic, 21, 3).&lt;&gt;icon_size(mic, 1, 1).&lt;&gt;</v>
      </c>
    </row>
    <row r="21" spans="2:57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5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  <c r="AZ21">
        <v>1</v>
      </c>
      <c r="BA21">
        <v>1</v>
      </c>
      <c r="BB21" t="s">
        <v>276</v>
      </c>
      <c r="BC21">
        <v>21</v>
      </c>
      <c r="BD21">
        <v>4</v>
      </c>
      <c r="BE21" t="str">
        <f t="shared" si="2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'/img/blocks/blocksheet1_05.png').&lt;&gt;prototype_coordinates(listen, 21, 4).&lt;&gt;icon_size(listen, 1, 1).&lt;&gt;</v>
      </c>
    </row>
    <row r="22" spans="2:57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5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  <c r="BE22" t="str">
        <f t="shared" si="24"/>
        <v/>
      </c>
    </row>
    <row r="23" spans="2:57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5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  <c r="AZ23">
        <v>1</v>
      </c>
      <c r="BA23">
        <v>1</v>
      </c>
      <c r="BB23" t="s">
        <v>277</v>
      </c>
      <c r="BC23">
        <v>21</v>
      </c>
      <c r="BD23">
        <v>5</v>
      </c>
      <c r="BE23" t="str">
        <f t="shared" si="2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'/img/blocks/blocksheet1_06.png').&lt;&gt;prototype_coordinates(camera, 21, 5).&lt;&gt;icon_size(camera, 1, 1).&lt;&gt;</v>
      </c>
    </row>
    <row r="24" spans="2:57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Q24" s="2" t="s">
        <v>139</v>
      </c>
      <c r="R24" s="2" t="s">
        <v>139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5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[rgb</v>
      </c>
      <c r="AN24" t="str">
        <f t="shared" si="20"/>
        <v>, rgb</v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[rgb, rgb]</v>
      </c>
      <c r="AS24">
        <v>1</v>
      </c>
      <c r="AZ24">
        <v>2</v>
      </c>
      <c r="BA24">
        <v>1</v>
      </c>
      <c r="BB24" t="s">
        <v>278</v>
      </c>
      <c r="BC24">
        <v>21</v>
      </c>
      <c r="BD24">
        <v>6</v>
      </c>
      <c r="BE24" t="str">
        <f t="shared" si="2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'/img/blocks/blocksheet1_07.png').&lt;&gt;prototype_coordinates(eyes, 21, 6).&lt;&gt;icon_size(eyes, 2, 1).&lt;&gt;</v>
      </c>
    </row>
    <row r="25" spans="2:57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Q25" s="2" t="s">
        <v>139</v>
      </c>
      <c r="R25" s="2" t="s">
        <v>146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5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[rgb</v>
      </c>
      <c r="AN25" t="str">
        <f t="shared" si="20"/>
        <v>, sample</v>
      </c>
      <c r="AO25" s="11" t="str">
        <f t="shared" si="21"/>
        <v/>
      </c>
      <c r="AP25" t="str">
        <f t="shared" si="22"/>
        <v>[]</v>
      </c>
      <c r="AQ25" t="str">
        <f t="shared" si="23"/>
        <v>[rgb, sample]</v>
      </c>
      <c r="AS25">
        <v>1</v>
      </c>
      <c r="BE25" t="str">
        <f t="shared" si="2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</row>
    <row r="26" spans="2:57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5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  <c r="BE26" t="str">
        <f t="shared" si="2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</row>
    <row r="27" spans="2:57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5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  <c r="AZ27">
        <v>1</v>
      </c>
      <c r="BA27">
        <v>1</v>
      </c>
      <c r="BB27" t="s">
        <v>279</v>
      </c>
      <c r="BC27">
        <v>21</v>
      </c>
      <c r="BD27">
        <v>7</v>
      </c>
      <c r="BE27" t="str">
        <f t="shared" si="2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'/img/blocks/blocksheet1_09.png').&lt;&gt;prototype_coordinates(spectrum, 21, 7).&lt;&gt;icon_size(spectrum, 1, 1).&lt;&gt;</v>
      </c>
    </row>
    <row r="28" spans="2:57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5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  <c r="BE28" t="str">
        <f t="shared" si="2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</row>
    <row r="29" spans="2:57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5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  <c r="AZ29">
        <v>1</v>
      </c>
      <c r="BA29">
        <v>1</v>
      </c>
      <c r="BB29" t="s">
        <v>280</v>
      </c>
      <c r="BC29">
        <v>21</v>
      </c>
      <c r="BD29">
        <v>8</v>
      </c>
      <c r="BE29" t="str">
        <f t="shared" si="2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'/img/blocks/blocksheet1_13.png').&lt;&gt;prototype_coordinates(viewer, 21, 8).&lt;&gt;icon_size(viewer, 1, 1).&lt;&gt;</v>
      </c>
    </row>
    <row r="30" spans="2:57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5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  <c r="AZ30">
        <v>1</v>
      </c>
      <c r="BA30">
        <v>1</v>
      </c>
      <c r="BB30" t="s">
        <v>281</v>
      </c>
      <c r="BC30">
        <v>21</v>
      </c>
      <c r="BD30">
        <v>9</v>
      </c>
      <c r="BE30" t="str">
        <f t="shared" si="2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'/img/blocks/blocksheet1_14.png').&lt;&gt;prototype_coordinates(kernal, 21, 9).&lt;&gt;icon_size(kernal, 1, 1).&lt;&gt;</v>
      </c>
    </row>
    <row r="31" spans="2:57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5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  <c r="BE31" t="str">
        <f t="shared" si="24"/>
        <v/>
      </c>
    </row>
    <row r="32" spans="2:57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5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  <c r="AZ32">
        <v>1</v>
      </c>
      <c r="BA32">
        <v>1</v>
      </c>
      <c r="BB32" t="s">
        <v>282</v>
      </c>
      <c r="BC32">
        <v>21</v>
      </c>
      <c r="BD32">
        <v>10</v>
      </c>
      <c r="BE32" t="str">
        <f t="shared" si="2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'/img/blocks/blocksheet1_10.png').&lt;&gt;prototype_coordinates(bodymask, 21, 10).&lt;&gt;icon_size(bodymask, 1, 1).&lt;&gt;</v>
      </c>
    </row>
    <row r="33" spans="1:57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5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  <c r="AZ33">
        <v>1</v>
      </c>
      <c r="BA33">
        <v>1</v>
      </c>
      <c r="BB33" t="s">
        <v>284</v>
      </c>
      <c r="BC33">
        <v>21</v>
      </c>
      <c r="BD33">
        <v>11</v>
      </c>
      <c r="BE33" t="str">
        <f t="shared" si="2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'/img/blocks/blocksheet1_11.png').&lt;&gt;prototype_coordinates(bodyposition, 21, 11).&lt;&gt;icon_size(bodyposition, 1, 1).&lt;&gt;</v>
      </c>
    </row>
    <row r="34" spans="1:57" ht="14.25" customHeight="1" x14ac:dyDescent="0.2">
      <c r="C34" s="1" t="str">
        <f t="shared" ref="C34:C62" si="26">IF(ISBLANK(A34),C33,A34)</f>
        <v>I/O</v>
      </c>
      <c r="D34" s="1" t="str">
        <f t="shared" ref="D34:D62" si="27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5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  <c r="AZ34">
        <v>1</v>
      </c>
      <c r="BA34">
        <v>1</v>
      </c>
      <c r="BB34" t="s">
        <v>285</v>
      </c>
      <c r="BC34">
        <v>21</v>
      </c>
      <c r="BD34">
        <v>12</v>
      </c>
      <c r="BE34" t="str">
        <f t="shared" si="2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'/img/blocks/blocksheet1_16.png').&lt;&gt;prototype_coordinates(bodypossim, 21, 12).&lt;&gt;icon_size(bodypossim, 1, 1).&lt;&gt;</v>
      </c>
    </row>
    <row r="35" spans="1:57" ht="14.25" customHeight="1" x14ac:dyDescent="0.2">
      <c r="C35" s="1" t="str">
        <f t="shared" si="26"/>
        <v>I/O</v>
      </c>
      <c r="D35" s="1" t="str">
        <f t="shared" si="27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5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  <c r="AZ35">
        <v>1</v>
      </c>
      <c r="BA35">
        <v>1</v>
      </c>
      <c r="BB35" t="s">
        <v>283</v>
      </c>
      <c r="BC35">
        <v>21</v>
      </c>
      <c r="BD35">
        <v>13</v>
      </c>
      <c r="BE35" t="str">
        <f t="shared" si="2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'/img/blocks/blocksheet1_15.png').&lt;&gt;prototype_coordinates(motors, 21, 13).&lt;&gt;icon_size(motors, 1, 1).&lt;&gt;</v>
      </c>
    </row>
    <row r="36" spans="1:57" ht="14.25" customHeight="1" x14ac:dyDescent="0.2">
      <c r="C36" s="1" t="str">
        <f t="shared" si="26"/>
        <v>I/O</v>
      </c>
      <c r="D36" s="1" t="str">
        <f t="shared" si="27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5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  <c r="AZ36">
        <v>1</v>
      </c>
      <c r="BA36">
        <v>1</v>
      </c>
      <c r="BB36" t="s">
        <v>286</v>
      </c>
      <c r="BC36">
        <v>21</v>
      </c>
      <c r="BD36">
        <v>14</v>
      </c>
      <c r="BE36" t="str">
        <f t="shared" si="2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'/img/blocks/blocksheet1_17.png').&lt;&gt;prototype_coordinates(motorsim, 21, 14).&lt;&gt;icon_size(motorsim, 1, 1).&lt;&gt;</v>
      </c>
    </row>
    <row r="37" spans="1:57" ht="14.25" customHeight="1" x14ac:dyDescent="0.2">
      <c r="A37" s="2" t="s">
        <v>217</v>
      </c>
      <c r="B37" s="2" t="s">
        <v>218</v>
      </c>
      <c r="C37" s="1" t="str">
        <f t="shared" ref="C37:C46" si="28">IF(ISBLANK(A37),C36,A37)</f>
        <v>connector</v>
      </c>
      <c r="D37" s="1" t="str">
        <f t="shared" ref="D37:D46" si="29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30">"["&amp;IF(RIGHT(F37,5)="(opt)","optional('"&amp;LEFT(F37,LEN(F37)-5)&amp;"')",IF(ISBLANK(F37),"","required('"&amp;F37&amp;"')"))</f>
        <v>[</v>
      </c>
      <c r="W37" s="9" t="str">
        <f t="shared" ref="W37:W46" si="31">IF(RIGHT(G37,5)="(opt)",", optional('"&amp;LEFT(G37, LEN(G37)-5)&amp;"')",IF(ISBLANK(G37),"",", required('"&amp;G37&amp;"')"))</f>
        <v/>
      </c>
      <c r="X37" s="9" t="str">
        <f t="shared" ref="X37:X46" si="32">IF(RIGHT(H37,5)="(opt)",", optional('"&amp;LEFT(H37, LEN(H37)-5)&amp;"')",IF(ISBLANK(H37),"",", required('"&amp;H37&amp;"')"))</f>
        <v/>
      </c>
      <c r="Y37" s="9" t="str">
        <f t="shared" ref="Y37:Y46" si="33">IF(RIGHT(I37,5)="(opt)",", optional('"&amp;LEFT(I37, LEN(I37)-5)&amp;"')",IF(ISBLANK(I37),"",", required('"&amp;I37&amp;"')"))</f>
        <v/>
      </c>
      <c r="Z37" t="str">
        <f t="shared" ref="Z37:Z46" si="34">V37&amp;W37&amp;X37&amp;"]"</f>
        <v>[]</v>
      </c>
      <c r="AA37" s="1" t="str">
        <f t="shared" ref="AA37:AA46" si="35">"["&amp;IF(ISBLANK(N37),"", "'"&amp;N37&amp;"'")</f>
        <v>[</v>
      </c>
      <c r="AB37" t="str">
        <f t="shared" ref="AB37:AB46" si="36">IF(ISBLANK(O37),"",", '"&amp;O37&amp;"'")</f>
        <v/>
      </c>
      <c r="AC37" t="str">
        <f t="shared" ref="AC37:AC46" si="37">IF(ISBLANK(P37),"",", '"&amp;P37&amp;"'")</f>
        <v/>
      </c>
      <c r="AD37" t="str">
        <f t="shared" ref="AD37:AD46" si="38">AA37&amp;AB37&amp;AC37&amp;"]"</f>
        <v>[]</v>
      </c>
      <c r="AE37" t="str">
        <f t="shared" ref="AE37:AE46" si="39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40">"visual_style"&amp;AG37</f>
        <v>visual_style14</v>
      </c>
      <c r="AG37">
        <f t="shared" ref="AG37:AG47" si="41">IF(ISBLANK(U36),AG36,AG36+1)</f>
        <v>14</v>
      </c>
      <c r="AH37" t="str">
        <f t="shared" si="14"/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  <c r="BE37" t="str">
        <f t="shared" si="24"/>
        <v/>
      </c>
    </row>
    <row r="38" spans="1:57" ht="14.25" customHeight="1" x14ac:dyDescent="0.2">
      <c r="B38" s="2" t="s">
        <v>218</v>
      </c>
      <c r="C38" s="1" t="str">
        <f t="shared" si="28"/>
        <v>connector</v>
      </c>
      <c r="D38" s="1" t="str">
        <f t="shared" si="29"/>
        <v>pipe</v>
      </c>
      <c r="I38" s="3"/>
      <c r="J38" s="10"/>
      <c r="K38" s="10"/>
      <c r="L38" s="10"/>
      <c r="M38" s="10"/>
      <c r="N38" s="4"/>
      <c r="V38" s="9" t="str">
        <f t="shared" si="30"/>
        <v>[</v>
      </c>
      <c r="W38" s="9" t="str">
        <f t="shared" si="31"/>
        <v/>
      </c>
      <c r="X38" s="9" t="str">
        <f t="shared" si="32"/>
        <v/>
      </c>
      <c r="Y38" s="9" t="str">
        <f t="shared" si="33"/>
        <v/>
      </c>
      <c r="Z38" t="str">
        <f t="shared" si="34"/>
        <v>[]</v>
      </c>
      <c r="AA38" s="1" t="str">
        <f t="shared" si="35"/>
        <v>[</v>
      </c>
      <c r="AB38" t="str">
        <f t="shared" si="36"/>
        <v/>
      </c>
      <c r="AC38" t="str">
        <f t="shared" si="37"/>
        <v/>
      </c>
      <c r="AD38" t="str">
        <f t="shared" si="38"/>
        <v>[]</v>
      </c>
      <c r="AE38" t="str">
        <f t="shared" si="39"/>
        <v/>
      </c>
      <c r="AF38" t="str">
        <f t="shared" si="40"/>
        <v>visual_style14</v>
      </c>
      <c r="AG38">
        <f t="shared" si="41"/>
        <v>14</v>
      </c>
      <c r="AH38" t="str">
        <f t="shared" si="14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  <c r="BE38" t="str">
        <f t="shared" si="24"/>
        <v/>
      </c>
    </row>
    <row r="39" spans="1:57" ht="14.25" customHeight="1" x14ac:dyDescent="0.2">
      <c r="C39" s="1" t="str">
        <f t="shared" si="28"/>
        <v>connector</v>
      </c>
      <c r="D39" s="1" t="str">
        <f t="shared" si="29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30"/>
        <v>[required('A')</v>
      </c>
      <c r="W39" s="9" t="str">
        <f t="shared" si="31"/>
        <v/>
      </c>
      <c r="X39" s="9" t="str">
        <f t="shared" si="32"/>
        <v/>
      </c>
      <c r="Y39" s="9" t="str">
        <f t="shared" si="33"/>
        <v/>
      </c>
      <c r="Z39" t="str">
        <f t="shared" si="34"/>
        <v>[required('A')]</v>
      </c>
      <c r="AA39" s="1" t="str">
        <f t="shared" si="35"/>
        <v>['O'</v>
      </c>
      <c r="AB39" t="str">
        <f t="shared" si="36"/>
        <v/>
      </c>
      <c r="AC39" t="str">
        <f t="shared" si="37"/>
        <v/>
      </c>
      <c r="AD39" t="str">
        <f t="shared" si="38"/>
        <v>['O']</v>
      </c>
      <c r="AE39" t="str">
        <f t="shared" si="39"/>
        <v>section(drbend, 'connector').&lt;&gt;subsection(drbend, 'pipe').&lt;&gt;description(drbend, 'bidi pipe connection').&lt;&gt;visual_style(drbend,  visual_style14</v>
      </c>
      <c r="AF39" t="str">
        <f t="shared" si="40"/>
        <v>visual_style14</v>
      </c>
      <c r="AG39">
        <f t="shared" si="41"/>
        <v>14</v>
      </c>
      <c r="AH39" t="str">
        <f t="shared" si="1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  <c r="BB39" t="s">
        <v>263</v>
      </c>
      <c r="BC39">
        <v>20</v>
      </c>
      <c r="BD39">
        <v>0</v>
      </c>
      <c r="BE39" t="str">
        <f t="shared" si="2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'/img/blocks/blocksheet0-_02.png').&lt;&gt;prototype_coordinates(drbend, 20, 0).&lt;&gt;icon_size(drbend, 1, 1).&lt;&gt;</v>
      </c>
    </row>
    <row r="40" spans="1:57" ht="14.25" customHeight="1" x14ac:dyDescent="0.2">
      <c r="C40" s="1" t="str">
        <f t="shared" si="28"/>
        <v>connector</v>
      </c>
      <c r="D40" s="1" t="str">
        <f t="shared" si="29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30"/>
        <v>[required('A')</v>
      </c>
      <c r="W40" s="9" t="str">
        <f t="shared" si="31"/>
        <v/>
      </c>
      <c r="X40" s="9" t="str">
        <f t="shared" si="32"/>
        <v/>
      </c>
      <c r="Y40" s="9" t="str">
        <f t="shared" si="33"/>
        <v/>
      </c>
      <c r="Z40" t="str">
        <f t="shared" si="34"/>
        <v>[required('A')]</v>
      </c>
      <c r="AA40" s="1" t="str">
        <f t="shared" si="35"/>
        <v>['O'</v>
      </c>
      <c r="AB40" t="str">
        <f t="shared" si="36"/>
        <v/>
      </c>
      <c r="AC40" t="str">
        <f t="shared" si="37"/>
        <v/>
      </c>
      <c r="AD40" t="str">
        <f t="shared" si="38"/>
        <v>['O']</v>
      </c>
      <c r="AE40" t="str">
        <f t="shared" si="39"/>
        <v>section(dlbend, 'connector').&lt;&gt;subsection(dlbend, 'pipe').&lt;&gt;description(dlbend, 'bidi pipe connection').&lt;&gt;visual_style(dlbend,  visual_style15</v>
      </c>
      <c r="AF40" t="str">
        <f t="shared" si="40"/>
        <v>visual_style15</v>
      </c>
      <c r="AG40">
        <f t="shared" si="41"/>
        <v>15</v>
      </c>
      <c r="AH40" t="str">
        <f t="shared" si="1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  <c r="BB40" t="s">
        <v>264</v>
      </c>
      <c r="BC40">
        <v>20</v>
      </c>
      <c r="BD40">
        <v>1</v>
      </c>
      <c r="BE40" t="str">
        <f t="shared" si="2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'/img/blocks/blocksheet0-_03.png').&lt;&gt;prototype_coordinates(dlbend, 20, 1).&lt;&gt;icon_size(dlbend, 1, 1).&lt;&gt;</v>
      </c>
    </row>
    <row r="41" spans="1:57" ht="14.25" customHeight="1" x14ac:dyDescent="0.2">
      <c r="C41" s="1" t="str">
        <f t="shared" si="28"/>
        <v>connector</v>
      </c>
      <c r="D41" s="1" t="str">
        <f t="shared" si="29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30"/>
        <v>[required('A')</v>
      </c>
      <c r="W41" s="9" t="str">
        <f t="shared" si="31"/>
        <v/>
      </c>
      <c r="X41" s="9" t="str">
        <f t="shared" si="32"/>
        <v/>
      </c>
      <c r="Y41" s="9" t="str">
        <f t="shared" si="33"/>
        <v/>
      </c>
      <c r="Z41" t="str">
        <f t="shared" si="34"/>
        <v>[required('A')]</v>
      </c>
      <c r="AA41" s="1" t="str">
        <f t="shared" si="35"/>
        <v>['O'</v>
      </c>
      <c r="AB41" t="str">
        <f t="shared" si="36"/>
        <v/>
      </c>
      <c r="AC41" t="str">
        <f t="shared" si="37"/>
        <v/>
      </c>
      <c r="AD41" t="str">
        <f t="shared" si="38"/>
        <v>['O']</v>
      </c>
      <c r="AE41" t="str">
        <f t="shared" si="39"/>
        <v>section(horpipe, 'connector').&lt;&gt;subsection(horpipe, 'pipe').&lt;&gt;description(horpipe, 'bidi pipe connection').&lt;&gt;visual_style(horpipe,  visual_style16</v>
      </c>
      <c r="AF41" t="str">
        <f t="shared" si="40"/>
        <v>visual_style16</v>
      </c>
      <c r="AG41">
        <f t="shared" si="41"/>
        <v>16</v>
      </c>
      <c r="AH41" t="str">
        <f t="shared" si="1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  <c r="BB41" t="s">
        <v>265</v>
      </c>
      <c r="BC41">
        <v>20</v>
      </c>
      <c r="BD41">
        <f>BD40+1</f>
        <v>2</v>
      </c>
      <c r="BE41" t="str">
        <f t="shared" si="2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'/img/blocks/blocksheet0-_04.png').&lt;&gt;prototype_coordinates(horpipe, 20, 2).&lt;&gt;icon_size(horpipe, 1, 1).&lt;&gt;</v>
      </c>
    </row>
    <row r="42" spans="1:57" ht="14.25" customHeight="1" x14ac:dyDescent="0.2">
      <c r="C42" s="1" t="str">
        <f t="shared" si="28"/>
        <v>connector</v>
      </c>
      <c r="D42" s="1" t="str">
        <f t="shared" si="29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30"/>
        <v>[required('A')</v>
      </c>
      <c r="W42" s="9" t="str">
        <f t="shared" si="31"/>
        <v>, required('B')</v>
      </c>
      <c r="X42" s="9" t="str">
        <f t="shared" si="32"/>
        <v/>
      </c>
      <c r="Y42" s="9" t="str">
        <f t="shared" si="33"/>
        <v/>
      </c>
      <c r="Z42" t="str">
        <f t="shared" si="34"/>
        <v>[required('A'), required('B')]</v>
      </c>
      <c r="AA42" s="1" t="str">
        <f t="shared" si="35"/>
        <v>['OA'</v>
      </c>
      <c r="AB42" t="str">
        <f t="shared" si="36"/>
        <v>, 'OB'</v>
      </c>
      <c r="AC42" t="str">
        <f t="shared" si="37"/>
        <v/>
      </c>
      <c r="AD42" t="str">
        <f t="shared" si="38"/>
        <v>['OA', 'OB']</v>
      </c>
      <c r="AE42" t="str">
        <f t="shared" si="39"/>
        <v>section(cross, 'connector').&lt;&gt;subsection(cross, 'pipe').&lt;&gt;description(cross, 'bidi pipe connection').&lt;&gt;visual_style(cross,  visual_style17</v>
      </c>
      <c r="AF42" t="str">
        <f t="shared" si="40"/>
        <v>visual_style17</v>
      </c>
      <c r="AG42">
        <f t="shared" si="41"/>
        <v>17</v>
      </c>
      <c r="AH42" t="str">
        <f t="shared" si="1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  <c r="BB42" t="s">
        <v>266</v>
      </c>
      <c r="BC42">
        <v>20</v>
      </c>
      <c r="BD42">
        <f t="shared" ref="BD42:BD45" si="51">BD41+1</f>
        <v>3</v>
      </c>
      <c r="BE42" t="str">
        <f t="shared" si="2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'/img/blocks/blocksheet0-_05.png').&lt;&gt;prototype_coordinates(cross, 20, 3).&lt;&gt;icon_size(cross, 1, 1).&lt;&gt;</v>
      </c>
    </row>
    <row r="43" spans="1:57" ht="14.25" customHeight="1" x14ac:dyDescent="0.2">
      <c r="C43" s="1" t="str">
        <f t="shared" si="28"/>
        <v>connector</v>
      </c>
      <c r="D43" s="1" t="str">
        <f t="shared" si="29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30"/>
        <v>[required('A')</v>
      </c>
      <c r="W43" s="9" t="str">
        <f t="shared" si="31"/>
        <v/>
      </c>
      <c r="X43" s="9" t="str">
        <f t="shared" si="32"/>
        <v/>
      </c>
      <c r="Y43" s="9" t="str">
        <f t="shared" si="33"/>
        <v/>
      </c>
      <c r="Z43" t="str">
        <f t="shared" si="34"/>
        <v>[required('A')]</v>
      </c>
      <c r="AA43" s="1" t="str">
        <f t="shared" si="35"/>
        <v>['O'</v>
      </c>
      <c r="AB43" t="str">
        <f t="shared" si="36"/>
        <v/>
      </c>
      <c r="AC43" t="str">
        <f t="shared" si="37"/>
        <v/>
      </c>
      <c r="AD43" t="str">
        <f t="shared" si="38"/>
        <v>['O']</v>
      </c>
      <c r="AE43" t="str">
        <f t="shared" si="39"/>
        <v>section(urbend, 'connector').&lt;&gt;subsection(urbend, 'pipe').&lt;&gt;description(urbend, 'bidi pipe connection').&lt;&gt;visual_style(urbend,  visual_style18</v>
      </c>
      <c r="AF43" t="str">
        <f t="shared" si="40"/>
        <v>visual_style18</v>
      </c>
      <c r="AG43">
        <f t="shared" si="41"/>
        <v>18</v>
      </c>
      <c r="AH43" t="str">
        <f t="shared" si="1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  <c r="BB43" t="s">
        <v>267</v>
      </c>
      <c r="BC43">
        <v>20</v>
      </c>
      <c r="BD43">
        <f t="shared" si="51"/>
        <v>4</v>
      </c>
      <c r="BE43" t="str">
        <f t="shared" si="2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'/img/blocks/blocksheet0-_14.png').&lt;&gt;prototype_coordinates(urbend, 20, 4).&lt;&gt;icon_size(urbend, 1, 1).&lt;&gt;</v>
      </c>
    </row>
    <row r="44" spans="1:57" ht="14.25" customHeight="1" x14ac:dyDescent="0.2">
      <c r="C44" s="1" t="str">
        <f t="shared" si="28"/>
        <v>connector</v>
      </c>
      <c r="D44" s="1" t="str">
        <f t="shared" si="29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30"/>
        <v>[required('A')</v>
      </c>
      <c r="W44" s="9" t="str">
        <f t="shared" si="31"/>
        <v/>
      </c>
      <c r="X44" s="9" t="str">
        <f t="shared" si="32"/>
        <v/>
      </c>
      <c r="Y44" s="9" t="str">
        <f t="shared" si="33"/>
        <v/>
      </c>
      <c r="Z44" t="str">
        <f t="shared" si="34"/>
        <v>[required('A')]</v>
      </c>
      <c r="AA44" s="1" t="str">
        <f t="shared" si="35"/>
        <v>['O'</v>
      </c>
      <c r="AB44" t="str">
        <f t="shared" si="36"/>
        <v/>
      </c>
      <c r="AC44" t="str">
        <f t="shared" si="37"/>
        <v/>
      </c>
      <c r="AD44" t="str">
        <f t="shared" si="38"/>
        <v>['O']</v>
      </c>
      <c r="AE44" t="str">
        <f t="shared" si="39"/>
        <v>section(ulbend, 'connector').&lt;&gt;subsection(ulbend, 'pipe').&lt;&gt;description(ulbend, 'bidi pipe connection').&lt;&gt;visual_style(ulbend,  visual_style19</v>
      </c>
      <c r="AF44" t="str">
        <f t="shared" si="40"/>
        <v>visual_style19</v>
      </c>
      <c r="AG44">
        <f t="shared" si="41"/>
        <v>19</v>
      </c>
      <c r="AH44" t="str">
        <f t="shared" si="1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  <c r="BB44" t="s">
        <v>268</v>
      </c>
      <c r="BC44">
        <v>20</v>
      </c>
      <c r="BD44">
        <f t="shared" si="51"/>
        <v>5</v>
      </c>
      <c r="BE44" t="str">
        <f t="shared" si="2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'/img/blocks/blocksheet0-_11.png').&lt;&gt;prototype_coordinates(ulbend, 20, 5).&lt;&gt;icon_size(ulbend, 1, 1).&lt;&gt;</v>
      </c>
    </row>
    <row r="45" spans="1:57" ht="14.25" customHeight="1" x14ac:dyDescent="0.2">
      <c r="C45" s="1" t="str">
        <f t="shared" si="28"/>
        <v>connector</v>
      </c>
      <c r="D45" s="1" t="str">
        <f t="shared" si="29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T45" s="2" t="s">
        <v>221</v>
      </c>
      <c r="U45" s="2" t="s">
        <v>222</v>
      </c>
      <c r="V45" s="9" t="str">
        <f t="shared" si="30"/>
        <v>[required('A')</v>
      </c>
      <c r="W45" s="9" t="str">
        <f t="shared" si="31"/>
        <v/>
      </c>
      <c r="X45" s="9" t="str">
        <f t="shared" si="32"/>
        <v/>
      </c>
      <c r="Y45" s="9" t="str">
        <f t="shared" si="33"/>
        <v/>
      </c>
      <c r="Z45" t="str">
        <f t="shared" si="34"/>
        <v>[required('A')]</v>
      </c>
      <c r="AA45" s="1" t="str">
        <f t="shared" si="35"/>
        <v>['OA'</v>
      </c>
      <c r="AB45" t="str">
        <f t="shared" si="36"/>
        <v>, 'OB'</v>
      </c>
      <c r="AC45" t="str">
        <f t="shared" si="37"/>
        <v>, 'OC'</v>
      </c>
      <c r="AD45" t="str">
        <f t="shared" si="38"/>
        <v>['OA', 'OB', 'OC']</v>
      </c>
      <c r="AE45" t="str">
        <f t="shared" si="39"/>
        <v>section(distributor, 'connector').&lt;&gt;subsection(distributor, 'pipe').&lt;&gt;description(distributor, 'bidi pipe connection').&lt;&gt;visual_style(distributor,  visual_style20</v>
      </c>
      <c r="AF45" t="str">
        <f t="shared" si="40"/>
        <v>visual_style20</v>
      </c>
      <c r="AG45">
        <f t="shared" si="41"/>
        <v>20</v>
      </c>
      <c r="AH45" t="str">
        <f t="shared" si="1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  <c r="BB45" t="s">
        <v>269</v>
      </c>
      <c r="BC45">
        <v>20</v>
      </c>
      <c r="BD45">
        <f t="shared" si="51"/>
        <v>6</v>
      </c>
      <c r="BE45" t="str">
        <f t="shared" si="2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'/img/blocks/blocksheet0-_09.png').&lt;&gt;prototype_coordinates(distributor, 20, 6).&lt;&gt;icon_size(distributor, 1, 1).&lt;&gt;</v>
      </c>
    </row>
    <row r="46" spans="1:57" ht="14.25" customHeight="1" x14ac:dyDescent="0.2">
      <c r="C46" s="1" t="str">
        <f t="shared" si="28"/>
        <v>connector</v>
      </c>
      <c r="D46" s="1" t="str">
        <f t="shared" si="29"/>
        <v>pipe</v>
      </c>
      <c r="E46" s="2" t="s">
        <v>270</v>
      </c>
      <c r="F46" s="2" t="s">
        <v>8</v>
      </c>
      <c r="I46" s="3"/>
      <c r="J46" s="10" t="s">
        <v>220</v>
      </c>
      <c r="K46" s="10"/>
      <c r="L46" s="10"/>
      <c r="M46" s="10"/>
      <c r="N46" s="4" t="s">
        <v>232</v>
      </c>
      <c r="Q46" s="2" t="s">
        <v>220</v>
      </c>
      <c r="T46" s="2" t="s">
        <v>221</v>
      </c>
      <c r="U46" s="2" t="s">
        <v>222</v>
      </c>
      <c r="V46" s="9" t="str">
        <f t="shared" si="30"/>
        <v>[required('A')</v>
      </c>
      <c r="W46" s="9" t="str">
        <f t="shared" si="31"/>
        <v/>
      </c>
      <c r="X46" s="9" t="str">
        <f t="shared" si="32"/>
        <v/>
      </c>
      <c r="Y46" s="9" t="str">
        <f t="shared" si="33"/>
        <v/>
      </c>
      <c r="Z46" t="str">
        <f t="shared" si="34"/>
        <v>[required('A')]</v>
      </c>
      <c r="AA46" s="1" t="str">
        <f t="shared" si="35"/>
        <v>['OA'</v>
      </c>
      <c r="AB46" t="str">
        <f t="shared" si="36"/>
        <v/>
      </c>
      <c r="AC46" t="str">
        <f t="shared" si="37"/>
        <v/>
      </c>
      <c r="AD46" t="str">
        <f t="shared" si="38"/>
        <v>['OA']</v>
      </c>
      <c r="AE46" t="str">
        <f t="shared" si="39"/>
        <v>section(vertpipe, 'connector').&lt;&gt;subsection(vertpipe, 'pipe').&lt;&gt;description(vertpipe, 'bidi pipe connection').&lt;&gt;visual_style(vertpipe,  visual_style21</v>
      </c>
      <c r="AF46" t="str">
        <f t="shared" si="40"/>
        <v>visual_style21</v>
      </c>
      <c r="AG46">
        <f t="shared" si="41"/>
        <v>21</v>
      </c>
      <c r="AH46" t="str">
        <f t="shared" si="1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</v>
      </c>
      <c r="AI46" t="str">
        <f t="shared" si="42"/>
        <v>[any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[any</v>
      </c>
      <c r="AN46" t="str">
        <f t="shared" si="47"/>
        <v/>
      </c>
      <c r="AO46" s="11" t="str">
        <f t="shared" si="48"/>
        <v/>
      </c>
      <c r="AP46" t="str">
        <f t="shared" si="49"/>
        <v>[any]</v>
      </c>
      <c r="AQ46" t="str">
        <f t="shared" si="50"/>
        <v>[any]</v>
      </c>
      <c r="AZ46">
        <v>1</v>
      </c>
      <c r="BA46">
        <v>1</v>
      </c>
      <c r="BB46" t="s">
        <v>287</v>
      </c>
      <c r="BC46">
        <v>20</v>
      </c>
      <c r="BD46">
        <v>7</v>
      </c>
      <c r="BE46" t="str">
        <f t="shared" si="2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'/img/blocks/blocksheet0-_08.png').&lt;&gt;prototype_coordinates(vertpipe, 20, 7).&lt;&gt;icon_size(vertpipe, 1, 1).&lt;&gt;</v>
      </c>
    </row>
    <row r="47" spans="1:57" ht="14.25" customHeight="1" x14ac:dyDescent="0.2">
      <c r="A47" s="2" t="s">
        <v>89</v>
      </c>
      <c r="C47" s="1" t="str">
        <f t="shared" ref="C47" si="52">IF(ISBLANK(A47),C46,A47)</f>
        <v>CV</v>
      </c>
      <c r="D47" s="1" t="str">
        <f t="shared" ref="D47" si="53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visual_style22</v>
      </c>
      <c r="AG47">
        <f t="shared" si="41"/>
        <v>22</v>
      </c>
      <c r="AH47" t="str">
        <f t="shared" si="14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  <c r="BE47" t="str">
        <f t="shared" si="24"/>
        <v/>
      </c>
    </row>
    <row r="48" spans="1:57" ht="14.25" customHeight="1" x14ac:dyDescent="0.2">
      <c r="B48" s="2" t="s">
        <v>90</v>
      </c>
      <c r="C48" s="1" t="str">
        <f t="shared" si="26"/>
        <v>CV</v>
      </c>
      <c r="D48" s="1" t="str">
        <f t="shared" si="27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visual_style22</v>
      </c>
      <c r="AG48">
        <f t="shared" si="25"/>
        <v>22</v>
      </c>
      <c r="AH48" t="str">
        <f t="shared" si="14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  <c r="BE48" t="str">
        <f t="shared" si="24"/>
        <v/>
      </c>
    </row>
    <row r="49" spans="1:57" ht="14.25" customHeight="1" x14ac:dyDescent="0.2">
      <c r="C49" s="1" t="str">
        <f t="shared" si="26"/>
        <v>CV</v>
      </c>
      <c r="D49" s="1" t="str">
        <f t="shared" si="27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visual_style22</v>
      </c>
      <c r="AG49">
        <f t="shared" si="25"/>
        <v>22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  <c r="BE49" t="str">
        <f t="shared" si="2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</row>
    <row r="50" spans="1:57" ht="14.25" customHeight="1" x14ac:dyDescent="0.2">
      <c r="C50" s="1" t="str">
        <f t="shared" si="26"/>
        <v>CV</v>
      </c>
      <c r="D50" s="1" t="str">
        <f t="shared" si="27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visual_style22</v>
      </c>
      <c r="AG50">
        <f t="shared" si="25"/>
        <v>22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  <c r="BE50" t="str">
        <f t="shared" si="2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</row>
    <row r="51" spans="1:57" ht="14.25" customHeight="1" x14ac:dyDescent="0.2">
      <c r="C51" s="1" t="str">
        <f t="shared" si="26"/>
        <v>CV</v>
      </c>
      <c r="D51" s="1" t="str">
        <f t="shared" si="27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visual_style22</v>
      </c>
      <c r="AG51">
        <f t="shared" si="25"/>
        <v>22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  <c r="BE51" t="str">
        <f t="shared" si="2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</row>
    <row r="52" spans="1:57" ht="14.25" customHeight="1" x14ac:dyDescent="0.2">
      <c r="C52" s="1" t="str">
        <f t="shared" si="26"/>
        <v>CV</v>
      </c>
      <c r="D52" s="1" t="str">
        <f t="shared" si="27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visual_style22</v>
      </c>
      <c r="AG52">
        <f t="shared" si="25"/>
        <v>22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  <c r="BE52" t="str">
        <f t="shared" si="2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</row>
    <row r="53" spans="1:57" ht="14.25" customHeight="1" x14ac:dyDescent="0.2">
      <c r="C53" s="1" t="str">
        <f t="shared" si="26"/>
        <v>CV</v>
      </c>
      <c r="D53" s="1" t="str">
        <f t="shared" si="27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visual_style22</v>
      </c>
      <c r="AG53">
        <f t="shared" si="25"/>
        <v>22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  <c r="BE53" t="str">
        <f t="shared" si="2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</row>
    <row r="54" spans="1:57" ht="14.25" customHeight="1" x14ac:dyDescent="0.2">
      <c r="C54" s="1" t="str">
        <f t="shared" si="26"/>
        <v>CV</v>
      </c>
      <c r="D54" s="1" t="str">
        <f t="shared" si="27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visual_style22</v>
      </c>
      <c r="AG54">
        <f t="shared" si="25"/>
        <v>22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  <c r="BE54" t="str">
        <f t="shared" si="2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</row>
    <row r="55" spans="1:57" ht="14.25" customHeight="1" x14ac:dyDescent="0.2">
      <c r="C55" s="1" t="str">
        <f t="shared" si="26"/>
        <v>CV</v>
      </c>
      <c r="D55" s="1" t="str">
        <f t="shared" si="27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visual_style22</v>
      </c>
      <c r="AG55">
        <f t="shared" si="25"/>
        <v>22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  <c r="BE55" t="str">
        <f t="shared" si="2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</row>
    <row r="56" spans="1:57" ht="14.25" customHeight="1" x14ac:dyDescent="0.2">
      <c r="C56" s="1" t="str">
        <f t="shared" si="26"/>
        <v>CV</v>
      </c>
      <c r="D56" s="1" t="str">
        <f t="shared" si="27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visual_style22</v>
      </c>
      <c r="AG56">
        <f t="shared" si="25"/>
        <v>22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  <c r="BE56" t="str">
        <f t="shared" si="2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</row>
    <row r="57" spans="1:57" ht="14.25" customHeight="1" x14ac:dyDescent="0.2">
      <c r="C57" s="1" t="str">
        <f t="shared" si="26"/>
        <v>CV</v>
      </c>
      <c r="D57" s="1" t="str">
        <f t="shared" si="27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visual_style22</v>
      </c>
      <c r="AF57" t="str">
        <f t="shared" si="13"/>
        <v>visual_style22</v>
      </c>
      <c r="AG57">
        <f t="shared" si="25"/>
        <v>22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  <c r="BE57" t="str">
        <f t="shared" si="2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</row>
    <row r="58" spans="1:57" ht="14.25" customHeight="1" x14ac:dyDescent="0.2">
      <c r="C58" s="1" t="str">
        <f t="shared" si="26"/>
        <v>CV</v>
      </c>
      <c r="D58" s="1" t="str">
        <f t="shared" si="27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visual_style23</v>
      </c>
      <c r="AG58">
        <f t="shared" si="25"/>
        <v>23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  <c r="BE58" t="str">
        <f t="shared" si="2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</row>
    <row r="59" spans="1:57" ht="14.25" customHeight="1" x14ac:dyDescent="0.2">
      <c r="C59" s="1" t="str">
        <f t="shared" si="26"/>
        <v>CV</v>
      </c>
      <c r="D59" s="1" t="str">
        <f t="shared" si="27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visual_style23</v>
      </c>
      <c r="AG59">
        <f t="shared" si="25"/>
        <v>23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  <c r="BE59" t="str">
        <f t="shared" si="2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</row>
    <row r="60" spans="1:57" ht="14.25" customHeight="1" x14ac:dyDescent="0.2">
      <c r="C60" s="1" t="str">
        <f t="shared" si="26"/>
        <v>CV</v>
      </c>
      <c r="D60" s="1" t="str">
        <f t="shared" si="27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visual_style23</v>
      </c>
      <c r="AG60">
        <f t="shared" si="25"/>
        <v>23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  <c r="BE60" t="str">
        <f t="shared" si="2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</row>
    <row r="61" spans="1:57" ht="14.25" customHeight="1" x14ac:dyDescent="0.2">
      <c r="B61" s="2" t="s">
        <v>123</v>
      </c>
      <c r="C61" s="1" t="str">
        <f t="shared" si="26"/>
        <v>CV</v>
      </c>
      <c r="D61" s="1" t="str">
        <f t="shared" si="27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visual_style23</v>
      </c>
      <c r="AG61">
        <f t="shared" si="25"/>
        <v>23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  <c r="BE61" t="str">
        <f t="shared" si="24"/>
        <v/>
      </c>
    </row>
    <row r="62" spans="1:57" ht="14.25" customHeight="1" x14ac:dyDescent="0.2">
      <c r="C62" s="1" t="str">
        <f t="shared" si="26"/>
        <v>CV</v>
      </c>
      <c r="D62" s="1" t="str">
        <f t="shared" si="27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visual_style23</v>
      </c>
      <c r="AG62">
        <f t="shared" si="25"/>
        <v>23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  <c r="BE62" t="str">
        <f t="shared" si="2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</row>
    <row r="63" spans="1:57" s="8" customFormat="1" ht="21.75" customHeight="1" x14ac:dyDescent="0.2">
      <c r="A63" s="5"/>
      <c r="B63" s="5"/>
      <c r="C63" s="1" t="str">
        <f t="shared" ref="C63:C89" si="54">IF(ISBLANK(A63),C62,A63)</f>
        <v>CV</v>
      </c>
      <c r="D63" s="1" t="str">
        <f t="shared" ref="D63:D89" si="55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6">IF(ISBLANK(O63),"",", '"&amp;O63&amp;"'")</f>
        <v/>
      </c>
      <c r="AC63" t="str">
        <f t="shared" ref="AC63:AC109" si="57">IF(ISBLANK(P63),"",", '"&amp;P63&amp;"'")</f>
        <v/>
      </c>
      <c r="AD63" t="str">
        <f t="shared" ref="AD63:AD109" si="58">AA63&amp;AB63&amp;AC63&amp;"]"</f>
        <v>['O']</v>
      </c>
      <c r="AE63" t="str">
        <f t="shared" ref="AE63:AE109" si="59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visual_style23</v>
      </c>
      <c r="AG63">
        <f t="shared" ref="AG63:AG109" si="60">IF(ISBLANK(U62),AG62,AG62+1)</f>
        <v>23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  <c r="BE63" t="str">
        <f t="shared" si="2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</row>
    <row r="64" spans="1:57" ht="21.75" customHeight="1" x14ac:dyDescent="0.2">
      <c r="B64" s="2" t="s">
        <v>296</v>
      </c>
      <c r="C64" s="1" t="str">
        <f t="shared" si="54"/>
        <v>CV</v>
      </c>
      <c r="D64" s="1" t="str">
        <f t="shared" si="55"/>
        <v>combining</v>
      </c>
      <c r="I64" s="3"/>
      <c r="J64" s="10"/>
      <c r="K64" s="10"/>
      <c r="L64" s="10"/>
      <c r="M64" s="10"/>
      <c r="N64" s="4"/>
      <c r="V64" s="9" t="str">
        <f t="shared" ref="V64:V109" si="61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2">"["&amp;IF(ISBLANK(N64),"", "'"&amp;N64&amp;"'")</f>
        <v>[</v>
      </c>
      <c r="AB64" t="str">
        <f t="shared" si="56"/>
        <v/>
      </c>
      <c r="AC64" t="str">
        <f t="shared" si="57"/>
        <v/>
      </c>
      <c r="AD64" t="str">
        <f t="shared" si="58"/>
        <v>[]</v>
      </c>
      <c r="AE64" t="str">
        <f t="shared" si="59"/>
        <v/>
      </c>
      <c r="AF64" t="str">
        <f t="shared" si="13"/>
        <v>visual_style23</v>
      </c>
      <c r="AG64">
        <f t="shared" si="60"/>
        <v>23</v>
      </c>
      <c r="AH64" t="str">
        <f t="shared" si="14"/>
        <v/>
      </c>
      <c r="AI64" t="str">
        <f t="shared" ref="AI64:AI66" si="63">IF(ISBLANK(J64),"[","["&amp;J64)</f>
        <v>[</v>
      </c>
      <c r="AJ64" t="str">
        <f t="shared" ref="AJ64:AJ66" si="64">IF(ISBLANK(K64), "", ", "&amp;K64)</f>
        <v/>
      </c>
      <c r="AK64" t="str">
        <f t="shared" ref="AK64:AK66" si="65">IF(ISBLANK(L64), "", ", "&amp;L64)</f>
        <v/>
      </c>
      <c r="AL64" s="11" t="str">
        <f t="shared" ref="AL64:AL66" si="66">IF(ISBLANK(M64), "", ", "&amp;M64)</f>
        <v/>
      </c>
      <c r="AM64" t="str">
        <f t="shared" ref="AM64:AM67" si="67">IF(ISBLANK(Q64),"[","["&amp;Q64)</f>
        <v>[</v>
      </c>
      <c r="AN64" t="str">
        <f t="shared" ref="AN64:AN66" si="68">IF(ISBLANK(R64), "", ", "&amp;R64)</f>
        <v/>
      </c>
      <c r="AO64" s="11" t="str">
        <f t="shared" ref="AO64:AO66" si="69">IF(ISBLANK(S64), "", ", "&amp;S64)</f>
        <v/>
      </c>
      <c r="AP64" t="str">
        <f t="shared" ref="AP64:AP66" si="70">AI64&amp;AJ64&amp;AK64&amp;AL64&amp;"]"</f>
        <v>[]</v>
      </c>
      <c r="AQ64" t="str">
        <f t="shared" ref="AQ64:AQ66" si="71">AM64&amp;AN64&amp;AO64&amp;"]"</f>
        <v>[]</v>
      </c>
      <c r="AR64" s="8"/>
      <c r="AS64" s="8"/>
      <c r="BE64" t="str">
        <f t="shared" si="24"/>
        <v/>
      </c>
    </row>
    <row r="65" spans="3:57" ht="21.75" customHeight="1" x14ac:dyDescent="0.2">
      <c r="C65" s="1" t="str">
        <f t="shared" si="54"/>
        <v>CV</v>
      </c>
      <c r="D65" s="1" t="str">
        <f t="shared" si="55"/>
        <v>combining</v>
      </c>
      <c r="E65" s="2" t="s">
        <v>297</v>
      </c>
      <c r="F65" s="2" t="s">
        <v>8</v>
      </c>
      <c r="G65" s="2" t="s">
        <v>9</v>
      </c>
      <c r="I65" s="3"/>
      <c r="J65" s="10" t="s">
        <v>136</v>
      </c>
      <c r="K65" s="10" t="s">
        <v>136</v>
      </c>
      <c r="L65" s="10"/>
      <c r="M65" s="10"/>
      <c r="N65" s="4" t="s">
        <v>10</v>
      </c>
      <c r="Q65" s="2" t="s">
        <v>136</v>
      </c>
      <c r="T65" s="2" t="s">
        <v>298</v>
      </c>
      <c r="V65" s="9" t="str">
        <f t="shared" si="61"/>
        <v>[required('A')</v>
      </c>
      <c r="Z65" t="str">
        <f t="shared" si="7"/>
        <v>[required('A')]</v>
      </c>
      <c r="AA65" s="8" t="str">
        <f t="shared" si="62"/>
        <v>['O'</v>
      </c>
      <c r="AB65" t="str">
        <f t="shared" si="56"/>
        <v/>
      </c>
      <c r="AC65" t="str">
        <f t="shared" si="57"/>
        <v/>
      </c>
      <c r="AD65" t="str">
        <f t="shared" si="58"/>
        <v>['O']</v>
      </c>
      <c r="AE65" t="str">
        <f t="shared" si="59"/>
        <v>section(imgadd, 'CV').&lt;&gt;subsection(imgadd, 'combining').&lt;&gt;description(imgadd, 'Ox = (Ax+Bx), for each channel x in the image (r,g,b, or grey)').&lt;&gt;visual_style(imgadd,  normal</v>
      </c>
      <c r="AF65" t="str">
        <f t="shared" si="13"/>
        <v>visual_style23</v>
      </c>
      <c r="AG65">
        <f t="shared" si="60"/>
        <v>23</v>
      </c>
      <c r="AH65" t="str">
        <f t="shared" si="14"/>
        <v>&lt;&gt;%  ===== imgadd ===========&lt;&gt;section(imgadd, 'CV').&lt;&gt;subsection(imgadd, 'combining').&lt;&gt;description(imgadd, 'Ox = (Ax+Bx), for each channel x in the image (r,g,b, or grey)').&lt;&gt;visual_style(imgadd,  normal).&lt;&gt;inputs(imgadd, [required('A')]).&lt;&gt;outputs(imgadd, ['O']).&lt;&gt;input_types(imgadd, [image, image]).&lt;&gt;output_types(imgadd, [image]).&lt;&gt;</v>
      </c>
      <c r="AI65" t="str">
        <f t="shared" si="63"/>
        <v>[image</v>
      </c>
      <c r="AJ65" t="str">
        <f t="shared" si="64"/>
        <v>, image</v>
      </c>
      <c r="AK65" t="str">
        <f t="shared" si="65"/>
        <v/>
      </c>
      <c r="AL65" s="11" t="str">
        <f t="shared" si="66"/>
        <v/>
      </c>
      <c r="AM65" t="str">
        <f t="shared" si="67"/>
        <v>[image</v>
      </c>
      <c r="AN65" t="str">
        <f t="shared" si="68"/>
        <v/>
      </c>
      <c r="AO65" s="11" t="str">
        <f t="shared" si="69"/>
        <v/>
      </c>
      <c r="AP65" t="str">
        <f t="shared" si="70"/>
        <v>[image, image]</v>
      </c>
      <c r="AQ65" t="str">
        <f t="shared" si="71"/>
        <v>[image]</v>
      </c>
      <c r="AR65" s="8"/>
      <c r="AS65" s="8"/>
      <c r="BE65" t="str">
        <f t="shared" si="24"/>
        <v>&lt;&gt;%  ===== imgadd ===========&lt;&gt;section(imgadd, 'CV').&lt;&gt;subsection(imgadd, 'combining').&lt;&gt;description(imgadd, 'Ox = (Ax+Bx), for each channel x in the image (r,g,b, or grey)').&lt;&gt;visual_style(imgadd,  normal).&lt;&gt;inputs(imgadd, [required('A')]).&lt;&gt;outputs(imgadd, ['O']).&lt;&gt;input_types(imgadd, [image, image]).&lt;&gt;output_types(imgadd, [image]).&lt;&gt;</v>
      </c>
    </row>
    <row r="66" spans="3:57" ht="21.75" customHeight="1" x14ac:dyDescent="0.2">
      <c r="C66" s="1" t="str">
        <f t="shared" si="54"/>
        <v>CV</v>
      </c>
      <c r="D66" s="1" t="str">
        <f t="shared" si="55"/>
        <v>combining</v>
      </c>
      <c r="E66" s="2" t="s">
        <v>299</v>
      </c>
      <c r="F66" s="2" t="s">
        <v>8</v>
      </c>
      <c r="G66" s="2" t="s">
        <v>9</v>
      </c>
      <c r="I66" s="3"/>
      <c r="J66" s="10" t="s">
        <v>136</v>
      </c>
      <c r="K66" s="10" t="s">
        <v>136</v>
      </c>
      <c r="L66" s="10"/>
      <c r="M66" s="10"/>
      <c r="N66" s="4" t="s">
        <v>10</v>
      </c>
      <c r="Q66" s="2" t="s">
        <v>136</v>
      </c>
      <c r="T66" s="2" t="s">
        <v>300</v>
      </c>
      <c r="V66" s="9" t="str">
        <f t="shared" si="61"/>
        <v>[required('A')</v>
      </c>
      <c r="Z66" t="str">
        <f t="shared" si="7"/>
        <v>[required('A')]</v>
      </c>
      <c r="AA66" s="8" t="str">
        <f t="shared" si="62"/>
        <v>['O'</v>
      </c>
      <c r="AB66" t="str">
        <f t="shared" si="56"/>
        <v/>
      </c>
      <c r="AC66" t="str">
        <f t="shared" si="57"/>
        <v/>
      </c>
      <c r="AD66" t="str">
        <f t="shared" si="58"/>
        <v>['O']</v>
      </c>
      <c r="AE66" t="str">
        <f t="shared" si="59"/>
        <v>section(imgmax, 'CV').&lt;&gt;subsection(imgmax, 'combining').&lt;&gt;description(imgmax, 'takes the channel values from whichever image has R+G+B greatest').&lt;&gt;visual_style(imgmax,  normal</v>
      </c>
      <c r="AF66" t="str">
        <f t="shared" si="13"/>
        <v>visual_style23</v>
      </c>
      <c r="AG66">
        <f t="shared" si="60"/>
        <v>23</v>
      </c>
      <c r="AH66" t="str">
        <f t="shared" si="14"/>
        <v>&lt;&gt;%  ===== imgmax ===========&lt;&gt;section(imgmax, 'CV').&lt;&gt;subsection(imgmax, 'combining').&lt;&gt;description(imgmax, 'takes the channel values from whichever image has R+G+B greatest').&lt;&gt;visual_style(imgmax,  normal).&lt;&gt;inputs(imgmax, [required('A')]).&lt;&gt;outputs(imgmax, ['O']).&lt;&gt;input_types(imgmax, [image, image]).&lt;&gt;output_types(imgmax, [image]).&lt;&gt;</v>
      </c>
      <c r="AI66" t="str">
        <f t="shared" si="63"/>
        <v>[image</v>
      </c>
      <c r="AJ66" t="str">
        <f t="shared" si="64"/>
        <v>, image</v>
      </c>
      <c r="AK66" t="str">
        <f t="shared" si="65"/>
        <v/>
      </c>
      <c r="AL66" s="11" t="str">
        <f t="shared" si="66"/>
        <v/>
      </c>
      <c r="AM66" t="str">
        <f t="shared" si="67"/>
        <v>[image</v>
      </c>
      <c r="AN66" t="str">
        <f t="shared" si="68"/>
        <v/>
      </c>
      <c r="AO66" s="11" t="str">
        <f t="shared" si="69"/>
        <v/>
      </c>
      <c r="AP66" t="str">
        <f t="shared" si="70"/>
        <v>[image, image]</v>
      </c>
      <c r="AQ66" t="str">
        <f t="shared" si="71"/>
        <v>[image]</v>
      </c>
      <c r="AR66" s="8"/>
      <c r="AS66" s="8"/>
      <c r="BE66" t="str">
        <f t="shared" si="24"/>
        <v>&lt;&gt;%  ===== imgmax ===========&lt;&gt;section(imgmax, 'CV').&lt;&gt;subsection(imgmax, 'combining').&lt;&gt;description(imgmax, 'takes the channel values from whichever image has R+G+B greatest').&lt;&gt;visual_style(imgmax,  normal).&lt;&gt;inputs(imgmax, [required('A')]).&lt;&gt;outputs(imgmax, ['O']).&lt;&gt;input_types(imgmax, [image, image]).&lt;&gt;output_types(imgmax, [image]).&lt;&gt;</v>
      </c>
    </row>
    <row r="67" spans="3:57" ht="21.75" customHeight="1" x14ac:dyDescent="0.2">
      <c r="C67" s="1" t="str">
        <f t="shared" si="54"/>
        <v>CV</v>
      </c>
      <c r="D67" s="1" t="str">
        <f t="shared" si="55"/>
        <v>combining</v>
      </c>
      <c r="I67" s="3"/>
      <c r="J67" s="10"/>
      <c r="K67" s="10"/>
      <c r="L67" s="10"/>
      <c r="M67" s="10"/>
      <c r="N67" s="4"/>
      <c r="V67" s="9" t="str">
        <f t="shared" si="61"/>
        <v>[</v>
      </c>
      <c r="Z67" t="str">
        <f t="shared" si="7"/>
        <v>[]</v>
      </c>
      <c r="AA67" s="8" t="str">
        <f t="shared" si="62"/>
        <v>[</v>
      </c>
      <c r="AB67" t="str">
        <f t="shared" si="56"/>
        <v/>
      </c>
      <c r="AC67" t="str">
        <f t="shared" si="57"/>
        <v/>
      </c>
      <c r="AD67" t="str">
        <f t="shared" si="58"/>
        <v>[]</v>
      </c>
      <c r="AE67" t="str">
        <f t="shared" si="59"/>
        <v/>
      </c>
      <c r="AF67" t="str">
        <f t="shared" si="13"/>
        <v>visual_style23</v>
      </c>
      <c r="AG67">
        <f t="shared" si="60"/>
        <v>23</v>
      </c>
      <c r="AH67" t="str">
        <f t="shared" si="14"/>
        <v/>
      </c>
      <c r="AM67" t="str">
        <f t="shared" si="67"/>
        <v>[</v>
      </c>
      <c r="BE67" t="str">
        <f t="shared" si="24"/>
        <v/>
      </c>
    </row>
    <row r="68" spans="3:57" ht="21.75" customHeight="1" x14ac:dyDescent="0.2">
      <c r="C68" s="1" t="str">
        <f t="shared" si="54"/>
        <v>CV</v>
      </c>
      <c r="D68" s="1" t="str">
        <f t="shared" si="55"/>
        <v>combining</v>
      </c>
      <c r="I68" s="3"/>
      <c r="J68" s="10"/>
      <c r="K68" s="10"/>
      <c r="L68" s="10"/>
      <c r="M68" s="10"/>
      <c r="N68" s="4"/>
      <c r="V68" s="9" t="str">
        <f t="shared" si="61"/>
        <v>[</v>
      </c>
      <c r="Z68" t="str">
        <f t="shared" si="7"/>
        <v>[]</v>
      </c>
      <c r="AA68" s="8" t="str">
        <f t="shared" si="62"/>
        <v>[</v>
      </c>
      <c r="AB68" t="str">
        <f t="shared" si="56"/>
        <v/>
      </c>
      <c r="AC68" t="str">
        <f t="shared" si="57"/>
        <v/>
      </c>
      <c r="AD68" t="str">
        <f t="shared" si="58"/>
        <v>[]</v>
      </c>
      <c r="AE68" t="str">
        <f t="shared" si="59"/>
        <v/>
      </c>
      <c r="AF68" t="str">
        <f t="shared" si="13"/>
        <v>visual_style23</v>
      </c>
      <c r="AG68">
        <f t="shared" si="60"/>
        <v>23</v>
      </c>
      <c r="AH68" t="str">
        <f t="shared" ref="AH68:AH109" si="72">IF(ISBLANK(E68),"","&lt;&gt;%  ===== "&amp;E68&amp;" ===========&lt;&gt;"&amp;AE68&amp;").&lt;&gt;inputs("&amp;E68&amp;", "&amp;Z68&amp;").&lt;&gt;outputs("&amp;E68&amp;", "&amp;AD68&amp;").&lt;&gt;input_types("&amp;E68&amp;", "&amp;AP68&amp;").&lt;&gt;output_types("&amp;E68&amp;", "&amp;AQ68&amp;").&lt;&gt;"&amp;IF(OR(ISBLANK(E68),ISBLANK(BB68)),"","image_name("&amp;E68&amp;", '/img/blocks/"&amp;BB68&amp;"').&lt;&gt;"))</f>
        <v/>
      </c>
      <c r="BE68" t="str">
        <f t="shared" ref="BE68:BE109" si="73">AH68&amp;IF(OR(ISBLANK(E68),ISBLANK(BC68)), "", "prototype_coordinates("&amp;E68&amp;", "&amp;BC68&amp;", "&amp;BD68&amp;").&lt;&gt;icon_size("&amp;E68&amp;", "&amp;AZ68&amp;", "&amp;BA68&amp;").&lt;&gt;")</f>
        <v/>
      </c>
    </row>
    <row r="69" spans="3:57" ht="21.75" customHeight="1" x14ac:dyDescent="0.2">
      <c r="C69" s="1" t="str">
        <f t="shared" si="54"/>
        <v>CV</v>
      </c>
      <c r="D69" s="1" t="str">
        <f t="shared" si="55"/>
        <v>combining</v>
      </c>
      <c r="I69" s="3"/>
      <c r="J69" s="10"/>
      <c r="K69" s="10"/>
      <c r="L69" s="10"/>
      <c r="M69" s="10"/>
      <c r="N69" s="4"/>
      <c r="V69" s="9" t="str">
        <f t="shared" si="61"/>
        <v>[</v>
      </c>
      <c r="Z69" t="str">
        <f t="shared" si="7"/>
        <v>[]</v>
      </c>
      <c r="AA69" s="8" t="str">
        <f t="shared" si="62"/>
        <v>[</v>
      </c>
      <c r="AB69" t="str">
        <f t="shared" si="56"/>
        <v/>
      </c>
      <c r="AC69" t="str">
        <f t="shared" si="57"/>
        <v/>
      </c>
      <c r="AD69" t="str">
        <f t="shared" si="58"/>
        <v>[]</v>
      </c>
      <c r="AE69" t="str">
        <f t="shared" si="59"/>
        <v/>
      </c>
      <c r="AF69" t="str">
        <f t="shared" si="13"/>
        <v>visual_style23</v>
      </c>
      <c r="AG69">
        <f t="shared" si="60"/>
        <v>23</v>
      </c>
      <c r="AH69" t="str">
        <f t="shared" si="72"/>
        <v/>
      </c>
      <c r="BE69" t="str">
        <f t="shared" si="73"/>
        <v/>
      </c>
    </row>
    <row r="70" spans="3:57" ht="21.75" customHeight="1" x14ac:dyDescent="0.2">
      <c r="C70" s="1" t="str">
        <f t="shared" si="54"/>
        <v>CV</v>
      </c>
      <c r="D70" s="1" t="str">
        <f t="shared" si="55"/>
        <v>combining</v>
      </c>
      <c r="I70" s="3"/>
      <c r="J70" s="10"/>
      <c r="K70" s="10"/>
      <c r="L70" s="10"/>
      <c r="M70" s="10"/>
      <c r="N70" s="4"/>
      <c r="V70" s="9" t="str">
        <f t="shared" si="61"/>
        <v>[</v>
      </c>
      <c r="Z70" t="str">
        <f t="shared" si="7"/>
        <v>[]</v>
      </c>
      <c r="AA70" s="8" t="str">
        <f t="shared" si="62"/>
        <v>[</v>
      </c>
      <c r="AB70" t="str">
        <f t="shared" si="56"/>
        <v/>
      </c>
      <c r="AC70" t="str">
        <f t="shared" si="57"/>
        <v/>
      </c>
      <c r="AD70" t="str">
        <f t="shared" si="58"/>
        <v>[]</v>
      </c>
      <c r="AE70" t="str">
        <f t="shared" si="59"/>
        <v/>
      </c>
      <c r="AF70" t="str">
        <f t="shared" si="13"/>
        <v>visual_style23</v>
      </c>
      <c r="AG70">
        <f t="shared" si="60"/>
        <v>23</v>
      </c>
      <c r="AH70" t="str">
        <f t="shared" si="72"/>
        <v/>
      </c>
      <c r="BE70" t="str">
        <f t="shared" si="73"/>
        <v/>
      </c>
    </row>
    <row r="71" spans="3:57" ht="21.75" customHeight="1" x14ac:dyDescent="0.2">
      <c r="C71" s="1" t="str">
        <f t="shared" si="54"/>
        <v>CV</v>
      </c>
      <c r="D71" s="1" t="str">
        <f t="shared" si="55"/>
        <v>combining</v>
      </c>
      <c r="I71" s="3"/>
      <c r="J71" s="10"/>
      <c r="K71" s="10"/>
      <c r="L71" s="10"/>
      <c r="M71" s="10"/>
      <c r="N71" s="4"/>
      <c r="V71" s="9" t="str">
        <f t="shared" si="61"/>
        <v>[</v>
      </c>
      <c r="Z71" t="str">
        <f t="shared" si="7"/>
        <v>[]</v>
      </c>
      <c r="AA71" s="8" t="str">
        <f t="shared" si="62"/>
        <v>[</v>
      </c>
      <c r="AB71" t="str">
        <f t="shared" si="56"/>
        <v/>
      </c>
      <c r="AC71" t="str">
        <f t="shared" si="57"/>
        <v/>
      </c>
      <c r="AD71" t="str">
        <f t="shared" si="58"/>
        <v>[]</v>
      </c>
      <c r="AE71" t="str">
        <f t="shared" si="59"/>
        <v/>
      </c>
      <c r="AF71" t="str">
        <f t="shared" si="13"/>
        <v>visual_style23</v>
      </c>
      <c r="AG71">
        <f t="shared" si="60"/>
        <v>23</v>
      </c>
      <c r="AH71" t="str">
        <f t="shared" si="72"/>
        <v/>
      </c>
      <c r="BE71" t="str">
        <f t="shared" si="73"/>
        <v/>
      </c>
    </row>
    <row r="72" spans="3:57" ht="21.75" customHeight="1" x14ac:dyDescent="0.2">
      <c r="C72" s="1" t="str">
        <f t="shared" si="54"/>
        <v>CV</v>
      </c>
      <c r="D72" s="1" t="str">
        <f t="shared" si="55"/>
        <v>combining</v>
      </c>
      <c r="I72" s="3"/>
      <c r="J72" s="10"/>
      <c r="K72" s="10"/>
      <c r="L72" s="10"/>
      <c r="M72" s="10"/>
      <c r="N72" s="4"/>
      <c r="V72" s="9" t="str">
        <f t="shared" si="61"/>
        <v>[</v>
      </c>
      <c r="Z72" t="str">
        <f t="shared" si="7"/>
        <v>[]</v>
      </c>
      <c r="AA72" s="8" t="str">
        <f t="shared" si="62"/>
        <v>[</v>
      </c>
      <c r="AB72" t="str">
        <f t="shared" si="56"/>
        <v/>
      </c>
      <c r="AC72" t="str">
        <f t="shared" si="57"/>
        <v/>
      </c>
      <c r="AD72" t="str">
        <f t="shared" si="58"/>
        <v>[]</v>
      </c>
      <c r="AE72" t="str">
        <f t="shared" si="59"/>
        <v/>
      </c>
      <c r="AF72" t="str">
        <f t="shared" si="13"/>
        <v>visual_style23</v>
      </c>
      <c r="AG72">
        <f t="shared" si="60"/>
        <v>23</v>
      </c>
      <c r="AH72" t="str">
        <f t="shared" si="72"/>
        <v/>
      </c>
      <c r="BE72" t="str">
        <f t="shared" si="73"/>
        <v/>
      </c>
    </row>
    <row r="73" spans="3:57" ht="21.75" customHeight="1" x14ac:dyDescent="0.2">
      <c r="C73" s="1" t="str">
        <f t="shared" si="54"/>
        <v>CV</v>
      </c>
      <c r="D73" s="1" t="str">
        <f t="shared" si="55"/>
        <v>combining</v>
      </c>
      <c r="I73" s="3"/>
      <c r="J73" s="10"/>
      <c r="K73" s="10"/>
      <c r="L73" s="10"/>
      <c r="M73" s="10"/>
      <c r="N73" s="4"/>
      <c r="V73" s="9" t="str">
        <f t="shared" si="61"/>
        <v>[</v>
      </c>
      <c r="Z73" t="str">
        <f t="shared" si="7"/>
        <v>[]</v>
      </c>
      <c r="AA73" s="8" t="str">
        <f t="shared" si="62"/>
        <v>[</v>
      </c>
      <c r="AB73" t="str">
        <f t="shared" si="56"/>
        <v/>
      </c>
      <c r="AC73" t="str">
        <f t="shared" si="57"/>
        <v/>
      </c>
      <c r="AD73" t="str">
        <f t="shared" si="58"/>
        <v>[]</v>
      </c>
      <c r="AE73" t="str">
        <f t="shared" si="59"/>
        <v/>
      </c>
      <c r="AF73" t="str">
        <f t="shared" si="13"/>
        <v>visual_style23</v>
      </c>
      <c r="AG73">
        <f t="shared" si="60"/>
        <v>23</v>
      </c>
      <c r="AH73" t="str">
        <f t="shared" si="72"/>
        <v/>
      </c>
      <c r="BE73" t="str">
        <f t="shared" si="73"/>
        <v/>
      </c>
    </row>
    <row r="74" spans="3:57" ht="21.75" customHeight="1" x14ac:dyDescent="0.2">
      <c r="C74" s="1" t="str">
        <f t="shared" si="54"/>
        <v>CV</v>
      </c>
      <c r="D74" s="1" t="str">
        <f t="shared" si="55"/>
        <v>combining</v>
      </c>
      <c r="I74" s="3"/>
      <c r="J74" s="10"/>
      <c r="K74" s="10"/>
      <c r="L74" s="10"/>
      <c r="M74" s="10"/>
      <c r="N74" s="4"/>
      <c r="V74" s="9" t="str">
        <f t="shared" si="61"/>
        <v>[</v>
      </c>
      <c r="Z74" t="str">
        <f t="shared" si="7"/>
        <v>[]</v>
      </c>
      <c r="AA74" s="8" t="str">
        <f t="shared" si="62"/>
        <v>[</v>
      </c>
      <c r="AB74" t="str">
        <f t="shared" si="56"/>
        <v/>
      </c>
      <c r="AC74" t="str">
        <f t="shared" si="57"/>
        <v/>
      </c>
      <c r="AD74" t="str">
        <f t="shared" si="58"/>
        <v>[]</v>
      </c>
      <c r="AE74" t="str">
        <f t="shared" si="59"/>
        <v/>
      </c>
      <c r="AF74" t="str">
        <f t="shared" si="13"/>
        <v>visual_style23</v>
      </c>
      <c r="AG74">
        <f t="shared" si="60"/>
        <v>23</v>
      </c>
      <c r="AH74" t="str">
        <f t="shared" si="72"/>
        <v/>
      </c>
      <c r="BE74" t="str">
        <f t="shared" si="73"/>
        <v/>
      </c>
    </row>
    <row r="75" spans="3:57" ht="21.75" customHeight="1" x14ac:dyDescent="0.2">
      <c r="C75" s="1" t="str">
        <f t="shared" si="54"/>
        <v>CV</v>
      </c>
      <c r="D75" s="1" t="str">
        <f t="shared" si="55"/>
        <v>combining</v>
      </c>
      <c r="I75" s="3"/>
      <c r="J75" s="10"/>
      <c r="K75" s="10"/>
      <c r="L75" s="10"/>
      <c r="M75" s="10"/>
      <c r="N75" s="4"/>
      <c r="V75" s="9" t="str">
        <f t="shared" si="61"/>
        <v>[</v>
      </c>
      <c r="Z75" t="str">
        <f t="shared" si="7"/>
        <v>[]</v>
      </c>
      <c r="AA75" s="8" t="str">
        <f t="shared" si="62"/>
        <v>[</v>
      </c>
      <c r="AB75" t="str">
        <f t="shared" si="56"/>
        <v/>
      </c>
      <c r="AC75" t="str">
        <f t="shared" si="57"/>
        <v/>
      </c>
      <c r="AD75" t="str">
        <f t="shared" si="58"/>
        <v>[]</v>
      </c>
      <c r="AE75" t="str">
        <f t="shared" si="59"/>
        <v/>
      </c>
      <c r="AF75" t="str">
        <f t="shared" si="13"/>
        <v>visual_style23</v>
      </c>
      <c r="AG75">
        <f t="shared" si="60"/>
        <v>23</v>
      </c>
      <c r="AH75" t="str">
        <f t="shared" si="72"/>
        <v/>
      </c>
      <c r="BE75" t="str">
        <f t="shared" si="73"/>
        <v/>
      </c>
    </row>
    <row r="76" spans="3:57" ht="21.75" customHeight="1" x14ac:dyDescent="0.2">
      <c r="C76" s="1" t="str">
        <f t="shared" si="54"/>
        <v>CV</v>
      </c>
      <c r="D76" s="1" t="str">
        <f t="shared" si="55"/>
        <v>combining</v>
      </c>
      <c r="I76" s="3"/>
      <c r="J76" s="10"/>
      <c r="K76" s="10"/>
      <c r="L76" s="10"/>
      <c r="M76" s="10"/>
      <c r="N76" s="4"/>
      <c r="V76" s="9" t="str">
        <f t="shared" si="61"/>
        <v>[</v>
      </c>
      <c r="Z76" t="str">
        <f t="shared" si="7"/>
        <v>[]</v>
      </c>
      <c r="AA76" s="8" t="str">
        <f t="shared" si="62"/>
        <v>[</v>
      </c>
      <c r="AB76" t="str">
        <f t="shared" si="56"/>
        <v/>
      </c>
      <c r="AC76" t="str">
        <f t="shared" si="57"/>
        <v/>
      </c>
      <c r="AD76" t="str">
        <f t="shared" si="58"/>
        <v>[]</v>
      </c>
      <c r="AE76" t="str">
        <f t="shared" si="59"/>
        <v/>
      </c>
      <c r="AF76" t="str">
        <f t="shared" si="13"/>
        <v>visual_style23</v>
      </c>
      <c r="AG76">
        <f t="shared" si="60"/>
        <v>23</v>
      </c>
      <c r="AH76" t="str">
        <f t="shared" si="72"/>
        <v/>
      </c>
      <c r="BE76" t="str">
        <f t="shared" si="73"/>
        <v/>
      </c>
    </row>
    <row r="77" spans="3:57" ht="21.75" customHeight="1" x14ac:dyDescent="0.2">
      <c r="C77" s="1" t="str">
        <f t="shared" si="54"/>
        <v>CV</v>
      </c>
      <c r="D77" s="1" t="str">
        <f t="shared" si="55"/>
        <v>combining</v>
      </c>
      <c r="I77" s="3"/>
      <c r="J77" s="10"/>
      <c r="K77" s="10"/>
      <c r="L77" s="10"/>
      <c r="M77" s="10"/>
      <c r="N77" s="4"/>
      <c r="V77" s="9" t="str">
        <f t="shared" si="61"/>
        <v>[</v>
      </c>
      <c r="Z77" t="str">
        <f t="shared" ref="Z77:Z109" si="74">V77&amp;W77&amp;X77&amp;"]"</f>
        <v>[]</v>
      </c>
      <c r="AA77" s="8" t="str">
        <f t="shared" si="62"/>
        <v>[</v>
      </c>
      <c r="AB77" t="str">
        <f t="shared" si="56"/>
        <v/>
      </c>
      <c r="AC77" t="str">
        <f t="shared" si="57"/>
        <v/>
      </c>
      <c r="AD77" t="str">
        <f t="shared" si="58"/>
        <v>[]</v>
      </c>
      <c r="AE77" t="str">
        <f t="shared" si="59"/>
        <v/>
      </c>
      <c r="AF77" t="str">
        <f t="shared" ref="AF77:AF109" si="75">"visual_style"&amp;AG77</f>
        <v>visual_style23</v>
      </c>
      <c r="AG77">
        <f t="shared" si="60"/>
        <v>23</v>
      </c>
      <c r="AH77" t="str">
        <f t="shared" si="72"/>
        <v/>
      </c>
      <c r="BE77" t="str">
        <f t="shared" si="73"/>
        <v/>
      </c>
    </row>
    <row r="78" spans="3:57" ht="21.75" customHeight="1" x14ac:dyDescent="0.2">
      <c r="C78" s="1" t="str">
        <f t="shared" si="54"/>
        <v>CV</v>
      </c>
      <c r="D78" s="1" t="str">
        <f t="shared" si="55"/>
        <v>combining</v>
      </c>
      <c r="I78" s="3"/>
      <c r="J78" s="10"/>
      <c r="K78" s="10"/>
      <c r="L78" s="10"/>
      <c r="M78" s="10"/>
      <c r="N78" s="4"/>
      <c r="V78" s="9" t="str">
        <f t="shared" si="61"/>
        <v>[</v>
      </c>
      <c r="Z78" t="str">
        <f t="shared" si="74"/>
        <v>[]</v>
      </c>
      <c r="AA78" s="8" t="str">
        <f t="shared" si="62"/>
        <v>[</v>
      </c>
      <c r="AB78" t="str">
        <f t="shared" si="56"/>
        <v/>
      </c>
      <c r="AC78" t="str">
        <f t="shared" si="57"/>
        <v/>
      </c>
      <c r="AD78" t="str">
        <f t="shared" si="58"/>
        <v>[]</v>
      </c>
      <c r="AE78" t="str">
        <f t="shared" si="59"/>
        <v/>
      </c>
      <c r="AF78" t="str">
        <f t="shared" si="75"/>
        <v>visual_style23</v>
      </c>
      <c r="AG78">
        <f t="shared" si="60"/>
        <v>23</v>
      </c>
      <c r="AH78" t="str">
        <f t="shared" si="72"/>
        <v/>
      </c>
      <c r="BE78" t="str">
        <f t="shared" si="73"/>
        <v/>
      </c>
    </row>
    <row r="79" spans="3:57" ht="21.75" customHeight="1" x14ac:dyDescent="0.2">
      <c r="C79" s="1" t="str">
        <f t="shared" si="54"/>
        <v>CV</v>
      </c>
      <c r="D79" s="1" t="str">
        <f t="shared" si="55"/>
        <v>combining</v>
      </c>
      <c r="I79" s="3"/>
      <c r="J79" s="10"/>
      <c r="K79" s="10"/>
      <c r="L79" s="10"/>
      <c r="M79" s="10"/>
      <c r="N79" s="4"/>
      <c r="V79" s="9" t="str">
        <f t="shared" si="61"/>
        <v>[</v>
      </c>
      <c r="Z79" t="str">
        <f t="shared" si="74"/>
        <v>[]</v>
      </c>
      <c r="AA79" s="8" t="str">
        <f t="shared" si="62"/>
        <v>[</v>
      </c>
      <c r="AB79" t="str">
        <f t="shared" si="56"/>
        <v/>
      </c>
      <c r="AC79" t="str">
        <f t="shared" si="57"/>
        <v/>
      </c>
      <c r="AD79" t="str">
        <f t="shared" si="58"/>
        <v>[]</v>
      </c>
      <c r="AE79" t="str">
        <f t="shared" si="59"/>
        <v/>
      </c>
      <c r="AF79" t="str">
        <f t="shared" si="75"/>
        <v>visual_style23</v>
      </c>
      <c r="AG79">
        <f t="shared" si="60"/>
        <v>23</v>
      </c>
      <c r="AH79" t="str">
        <f t="shared" si="72"/>
        <v/>
      </c>
      <c r="BE79" t="str">
        <f t="shared" si="73"/>
        <v/>
      </c>
    </row>
    <row r="80" spans="3:57" ht="21.75" customHeight="1" x14ac:dyDescent="0.2">
      <c r="C80" s="1" t="str">
        <f t="shared" si="54"/>
        <v>CV</v>
      </c>
      <c r="D80" s="1" t="str">
        <f t="shared" si="55"/>
        <v>combining</v>
      </c>
      <c r="I80" s="3"/>
      <c r="J80" s="10"/>
      <c r="K80" s="10"/>
      <c r="L80" s="10"/>
      <c r="M80" s="10"/>
      <c r="N80" s="4"/>
      <c r="V80" s="9" t="str">
        <f t="shared" si="61"/>
        <v>[</v>
      </c>
      <c r="Z80" t="str">
        <f t="shared" si="74"/>
        <v>[]</v>
      </c>
      <c r="AA80" s="8" t="str">
        <f t="shared" si="62"/>
        <v>[</v>
      </c>
      <c r="AB80" t="str">
        <f t="shared" si="56"/>
        <v/>
      </c>
      <c r="AC80" t="str">
        <f t="shared" si="57"/>
        <v/>
      </c>
      <c r="AD80" t="str">
        <f t="shared" si="58"/>
        <v>[]</v>
      </c>
      <c r="AE80" t="str">
        <f t="shared" si="59"/>
        <v/>
      </c>
      <c r="AF80" t="str">
        <f t="shared" si="75"/>
        <v>visual_style23</v>
      </c>
      <c r="AG80">
        <f t="shared" si="60"/>
        <v>23</v>
      </c>
      <c r="AH80" t="str">
        <f t="shared" si="72"/>
        <v/>
      </c>
      <c r="BE80" t="str">
        <f t="shared" si="73"/>
        <v/>
      </c>
    </row>
    <row r="81" spans="3:57" ht="21.75" customHeight="1" x14ac:dyDescent="0.2">
      <c r="C81" s="1" t="str">
        <f t="shared" si="54"/>
        <v>CV</v>
      </c>
      <c r="D81" s="1" t="str">
        <f t="shared" si="55"/>
        <v>combining</v>
      </c>
      <c r="I81" s="3"/>
      <c r="J81" s="10"/>
      <c r="K81" s="10"/>
      <c r="L81" s="10"/>
      <c r="M81" s="10"/>
      <c r="N81" s="4"/>
      <c r="V81" s="9" t="str">
        <f t="shared" si="61"/>
        <v>[</v>
      </c>
      <c r="Z81" t="str">
        <f t="shared" si="74"/>
        <v>[]</v>
      </c>
      <c r="AA81" s="8" t="str">
        <f t="shared" si="62"/>
        <v>[</v>
      </c>
      <c r="AB81" t="str">
        <f t="shared" si="56"/>
        <v/>
      </c>
      <c r="AC81" t="str">
        <f t="shared" si="57"/>
        <v/>
      </c>
      <c r="AD81" t="str">
        <f t="shared" si="58"/>
        <v>[]</v>
      </c>
      <c r="AE81" t="str">
        <f t="shared" si="59"/>
        <v/>
      </c>
      <c r="AF81" t="str">
        <f t="shared" si="75"/>
        <v>visual_style23</v>
      </c>
      <c r="AG81">
        <f t="shared" si="60"/>
        <v>23</v>
      </c>
      <c r="AH81" t="str">
        <f t="shared" si="72"/>
        <v/>
      </c>
      <c r="BE81" t="str">
        <f t="shared" si="73"/>
        <v/>
      </c>
    </row>
    <row r="82" spans="3:57" ht="21.75" customHeight="1" x14ac:dyDescent="0.2">
      <c r="C82" s="1" t="str">
        <f t="shared" si="54"/>
        <v>CV</v>
      </c>
      <c r="D82" s="1" t="str">
        <f t="shared" si="55"/>
        <v>combining</v>
      </c>
      <c r="I82" s="3"/>
      <c r="J82" s="10"/>
      <c r="K82" s="10"/>
      <c r="L82" s="10"/>
      <c r="M82" s="10"/>
      <c r="N82" s="4"/>
      <c r="V82" s="9" t="str">
        <f t="shared" si="61"/>
        <v>[</v>
      </c>
      <c r="Z82" t="str">
        <f t="shared" si="74"/>
        <v>[]</v>
      </c>
      <c r="AA82" s="8" t="str">
        <f t="shared" si="62"/>
        <v>[</v>
      </c>
      <c r="AB82" t="str">
        <f t="shared" si="56"/>
        <v/>
      </c>
      <c r="AC82" t="str">
        <f t="shared" si="57"/>
        <v/>
      </c>
      <c r="AD82" t="str">
        <f t="shared" si="58"/>
        <v>[]</v>
      </c>
      <c r="AE82" t="str">
        <f t="shared" si="59"/>
        <v/>
      </c>
      <c r="AF82" t="str">
        <f t="shared" si="75"/>
        <v>visual_style23</v>
      </c>
      <c r="AG82">
        <f t="shared" si="60"/>
        <v>23</v>
      </c>
      <c r="AH82" t="str">
        <f t="shared" si="72"/>
        <v/>
      </c>
      <c r="BE82" t="str">
        <f t="shared" si="73"/>
        <v/>
      </c>
    </row>
    <row r="83" spans="3:57" ht="21.75" customHeight="1" x14ac:dyDescent="0.2">
      <c r="C83" s="1" t="str">
        <f t="shared" si="54"/>
        <v>CV</v>
      </c>
      <c r="D83" s="1" t="str">
        <f t="shared" si="55"/>
        <v>combining</v>
      </c>
      <c r="I83" s="3"/>
      <c r="J83" s="10"/>
      <c r="K83" s="10"/>
      <c r="L83" s="10"/>
      <c r="M83" s="10"/>
      <c r="N83" s="4"/>
      <c r="V83" s="9" t="str">
        <f t="shared" si="61"/>
        <v>[</v>
      </c>
      <c r="Z83" t="str">
        <f t="shared" si="74"/>
        <v>[]</v>
      </c>
      <c r="AA83" s="8" t="str">
        <f t="shared" si="62"/>
        <v>[</v>
      </c>
      <c r="AB83" t="str">
        <f t="shared" si="56"/>
        <v/>
      </c>
      <c r="AC83" t="str">
        <f t="shared" si="57"/>
        <v/>
      </c>
      <c r="AD83" t="str">
        <f t="shared" si="58"/>
        <v>[]</v>
      </c>
      <c r="AE83" t="str">
        <f t="shared" si="59"/>
        <v/>
      </c>
      <c r="AF83" t="str">
        <f t="shared" si="75"/>
        <v>visual_style23</v>
      </c>
      <c r="AG83">
        <f t="shared" si="60"/>
        <v>23</v>
      </c>
      <c r="AH83" t="str">
        <f t="shared" si="72"/>
        <v/>
      </c>
      <c r="BE83" t="str">
        <f t="shared" si="73"/>
        <v/>
      </c>
    </row>
    <row r="84" spans="3:57" ht="21.75" customHeight="1" x14ac:dyDescent="0.2">
      <c r="C84" s="1" t="str">
        <f t="shared" si="54"/>
        <v>CV</v>
      </c>
      <c r="D84" s="1" t="str">
        <f t="shared" si="55"/>
        <v>combining</v>
      </c>
      <c r="I84" s="3"/>
      <c r="J84" s="10"/>
      <c r="K84" s="10"/>
      <c r="L84" s="10"/>
      <c r="M84" s="10"/>
      <c r="N84" s="4"/>
      <c r="V84" s="9" t="str">
        <f t="shared" si="61"/>
        <v>[</v>
      </c>
      <c r="Z84" t="str">
        <f t="shared" si="74"/>
        <v>[]</v>
      </c>
      <c r="AA84" s="8" t="str">
        <f t="shared" si="62"/>
        <v>[</v>
      </c>
      <c r="AB84" t="str">
        <f t="shared" si="56"/>
        <v/>
      </c>
      <c r="AC84" t="str">
        <f t="shared" si="57"/>
        <v/>
      </c>
      <c r="AD84" t="str">
        <f t="shared" si="58"/>
        <v>[]</v>
      </c>
      <c r="AE84" t="str">
        <f t="shared" si="59"/>
        <v/>
      </c>
      <c r="AF84" t="str">
        <f t="shared" si="75"/>
        <v>visual_style23</v>
      </c>
      <c r="AG84">
        <f t="shared" si="60"/>
        <v>23</v>
      </c>
      <c r="AH84" t="str">
        <f t="shared" si="72"/>
        <v/>
      </c>
      <c r="BE84" t="str">
        <f t="shared" si="73"/>
        <v/>
      </c>
    </row>
    <row r="85" spans="3:57" ht="21.75" customHeight="1" x14ac:dyDescent="0.2">
      <c r="C85" s="1" t="str">
        <f t="shared" si="54"/>
        <v>CV</v>
      </c>
      <c r="D85" s="1" t="str">
        <f t="shared" si="55"/>
        <v>combining</v>
      </c>
      <c r="I85" s="3"/>
      <c r="J85" s="10"/>
      <c r="K85" s="10"/>
      <c r="L85" s="10"/>
      <c r="M85" s="10"/>
      <c r="N85" s="4"/>
      <c r="V85" s="9" t="str">
        <f t="shared" si="61"/>
        <v>[</v>
      </c>
      <c r="Z85" t="str">
        <f t="shared" si="74"/>
        <v>[]</v>
      </c>
      <c r="AA85" s="8" t="str">
        <f t="shared" si="62"/>
        <v>[</v>
      </c>
      <c r="AB85" t="str">
        <f t="shared" si="56"/>
        <v/>
      </c>
      <c r="AC85" t="str">
        <f t="shared" si="57"/>
        <v/>
      </c>
      <c r="AD85" t="str">
        <f t="shared" si="58"/>
        <v>[]</v>
      </c>
      <c r="AE85" t="str">
        <f t="shared" si="59"/>
        <v/>
      </c>
      <c r="AF85" t="str">
        <f t="shared" si="75"/>
        <v>visual_style23</v>
      </c>
      <c r="AG85">
        <f t="shared" si="60"/>
        <v>23</v>
      </c>
      <c r="AH85" t="str">
        <f t="shared" si="72"/>
        <v/>
      </c>
      <c r="BE85" t="str">
        <f t="shared" si="73"/>
        <v/>
      </c>
    </row>
    <row r="86" spans="3:57" ht="21.75" customHeight="1" x14ac:dyDescent="0.2">
      <c r="C86" s="1" t="str">
        <f t="shared" si="54"/>
        <v>CV</v>
      </c>
      <c r="D86" s="1" t="str">
        <f t="shared" si="55"/>
        <v>combining</v>
      </c>
      <c r="I86" s="3"/>
      <c r="J86" s="10"/>
      <c r="K86" s="10"/>
      <c r="L86" s="10"/>
      <c r="M86" s="10"/>
      <c r="N86" s="4"/>
      <c r="V86" s="9" t="str">
        <f t="shared" si="61"/>
        <v>[</v>
      </c>
      <c r="Z86" t="str">
        <f t="shared" si="74"/>
        <v>[]</v>
      </c>
      <c r="AA86" s="8" t="str">
        <f t="shared" si="62"/>
        <v>[</v>
      </c>
      <c r="AB86" t="str">
        <f t="shared" si="56"/>
        <v/>
      </c>
      <c r="AC86" t="str">
        <f t="shared" si="57"/>
        <v/>
      </c>
      <c r="AD86" t="str">
        <f t="shared" si="58"/>
        <v>[]</v>
      </c>
      <c r="AE86" t="str">
        <f t="shared" si="59"/>
        <v/>
      </c>
      <c r="AF86" t="str">
        <f t="shared" si="75"/>
        <v>visual_style23</v>
      </c>
      <c r="AG86">
        <f t="shared" si="60"/>
        <v>23</v>
      </c>
      <c r="AH86" t="str">
        <f t="shared" si="72"/>
        <v/>
      </c>
      <c r="BE86" t="str">
        <f t="shared" si="73"/>
        <v/>
      </c>
    </row>
    <row r="87" spans="3:57" ht="21.75" customHeight="1" x14ac:dyDescent="0.2">
      <c r="C87" s="1" t="str">
        <f t="shared" si="54"/>
        <v>CV</v>
      </c>
      <c r="D87" s="1" t="str">
        <f t="shared" si="55"/>
        <v>combining</v>
      </c>
      <c r="I87" s="3"/>
      <c r="J87" s="10"/>
      <c r="K87" s="10"/>
      <c r="L87" s="10"/>
      <c r="M87" s="10"/>
      <c r="N87" s="4"/>
      <c r="V87" s="9" t="str">
        <f t="shared" si="61"/>
        <v>[</v>
      </c>
      <c r="Z87" t="str">
        <f t="shared" si="74"/>
        <v>[]</v>
      </c>
      <c r="AA87" s="8" t="str">
        <f t="shared" si="62"/>
        <v>[</v>
      </c>
      <c r="AB87" t="str">
        <f t="shared" si="56"/>
        <v/>
      </c>
      <c r="AC87" t="str">
        <f t="shared" si="57"/>
        <v/>
      </c>
      <c r="AD87" t="str">
        <f t="shared" si="58"/>
        <v>[]</v>
      </c>
      <c r="AE87" t="str">
        <f t="shared" si="59"/>
        <v/>
      </c>
      <c r="AF87" t="str">
        <f t="shared" si="75"/>
        <v>visual_style23</v>
      </c>
      <c r="AG87">
        <f t="shared" si="60"/>
        <v>23</v>
      </c>
      <c r="AH87" t="str">
        <f t="shared" si="72"/>
        <v/>
      </c>
      <c r="BE87" t="str">
        <f t="shared" si="73"/>
        <v/>
      </c>
    </row>
    <row r="88" spans="3:57" ht="21.75" customHeight="1" x14ac:dyDescent="0.2">
      <c r="C88" s="1" t="str">
        <f t="shared" si="54"/>
        <v>CV</v>
      </c>
      <c r="D88" s="1" t="str">
        <f t="shared" si="55"/>
        <v>combining</v>
      </c>
      <c r="I88" s="3"/>
      <c r="J88" s="10"/>
      <c r="K88" s="10"/>
      <c r="L88" s="10"/>
      <c r="M88" s="10"/>
      <c r="N88" s="4"/>
      <c r="V88" s="9" t="str">
        <f t="shared" si="61"/>
        <v>[</v>
      </c>
      <c r="Z88" t="str">
        <f t="shared" si="74"/>
        <v>[]</v>
      </c>
      <c r="AA88" s="8" t="str">
        <f t="shared" si="62"/>
        <v>[</v>
      </c>
      <c r="AB88" t="str">
        <f t="shared" si="56"/>
        <v/>
      </c>
      <c r="AC88" t="str">
        <f t="shared" si="57"/>
        <v/>
      </c>
      <c r="AD88" t="str">
        <f t="shared" si="58"/>
        <v>[]</v>
      </c>
      <c r="AE88" t="str">
        <f t="shared" si="59"/>
        <v/>
      </c>
      <c r="AF88" t="str">
        <f t="shared" si="75"/>
        <v>visual_style23</v>
      </c>
      <c r="AG88">
        <f t="shared" si="60"/>
        <v>23</v>
      </c>
      <c r="AH88" t="str">
        <f t="shared" si="72"/>
        <v/>
      </c>
      <c r="BE88" t="str">
        <f t="shared" si="73"/>
        <v/>
      </c>
    </row>
    <row r="89" spans="3:57" ht="21.75" customHeight="1" x14ac:dyDescent="0.2">
      <c r="C89" s="1" t="str">
        <f t="shared" si="54"/>
        <v>CV</v>
      </c>
      <c r="D89" s="1" t="str">
        <f t="shared" si="55"/>
        <v>combining</v>
      </c>
      <c r="I89" s="3"/>
      <c r="J89" s="10"/>
      <c r="K89" s="10"/>
      <c r="L89" s="10"/>
      <c r="M89" s="10"/>
      <c r="N89" s="4"/>
      <c r="V89" s="9" t="str">
        <f t="shared" si="61"/>
        <v>[</v>
      </c>
      <c r="Z89" t="str">
        <f t="shared" si="74"/>
        <v>[]</v>
      </c>
      <c r="AA89" s="8" t="str">
        <f t="shared" si="62"/>
        <v>[</v>
      </c>
      <c r="AB89" t="str">
        <f t="shared" si="56"/>
        <v/>
      </c>
      <c r="AC89" t="str">
        <f t="shared" si="57"/>
        <v/>
      </c>
      <c r="AD89" t="str">
        <f t="shared" si="58"/>
        <v>[]</v>
      </c>
      <c r="AE89" t="str">
        <f t="shared" si="59"/>
        <v/>
      </c>
      <c r="AF89" t="str">
        <f t="shared" si="75"/>
        <v>visual_style23</v>
      </c>
      <c r="AG89">
        <f t="shared" si="60"/>
        <v>23</v>
      </c>
      <c r="AH89" t="str">
        <f t="shared" si="72"/>
        <v/>
      </c>
      <c r="BE89" t="str">
        <f t="shared" si="73"/>
        <v/>
      </c>
    </row>
    <row r="90" spans="3:57" ht="21.75" customHeight="1" x14ac:dyDescent="0.2">
      <c r="C90" s="1" t="str">
        <f t="shared" ref="C90:C109" si="76">IF(ISBLANK(A90),C89,A90)</f>
        <v>CV</v>
      </c>
      <c r="D90" s="1" t="str">
        <f t="shared" ref="D90:D109" si="77">IF(NOT(ISBLANK(B90)), B90, IF(ISBLANK(A90), D89,A90))</f>
        <v>combining</v>
      </c>
      <c r="I90" s="3"/>
      <c r="J90" s="10"/>
      <c r="K90" s="10"/>
      <c r="L90" s="10"/>
      <c r="M90" s="10"/>
      <c r="N90" s="4"/>
      <c r="V90" s="9" t="str">
        <f t="shared" si="61"/>
        <v>[</v>
      </c>
      <c r="Z90" t="str">
        <f t="shared" si="74"/>
        <v>[]</v>
      </c>
      <c r="AA90" s="8" t="str">
        <f t="shared" si="62"/>
        <v>[</v>
      </c>
      <c r="AB90" t="str">
        <f t="shared" si="56"/>
        <v/>
      </c>
      <c r="AC90" t="str">
        <f t="shared" si="57"/>
        <v/>
      </c>
      <c r="AD90" t="str">
        <f t="shared" si="58"/>
        <v>[]</v>
      </c>
      <c r="AE90" t="str">
        <f t="shared" si="59"/>
        <v/>
      </c>
      <c r="AF90" t="str">
        <f t="shared" si="75"/>
        <v>visual_style23</v>
      </c>
      <c r="AG90">
        <f t="shared" si="60"/>
        <v>23</v>
      </c>
      <c r="AH90" t="str">
        <f t="shared" si="72"/>
        <v/>
      </c>
      <c r="BE90" t="str">
        <f t="shared" si="73"/>
        <v/>
      </c>
    </row>
    <row r="91" spans="3:57" ht="21.75" customHeight="1" x14ac:dyDescent="0.2">
      <c r="C91" s="1" t="str">
        <f t="shared" si="76"/>
        <v>CV</v>
      </c>
      <c r="D91" s="1" t="str">
        <f t="shared" si="77"/>
        <v>combining</v>
      </c>
      <c r="I91" s="3"/>
      <c r="J91" s="10"/>
      <c r="K91" s="10"/>
      <c r="L91" s="10"/>
      <c r="M91" s="10"/>
      <c r="N91" s="4"/>
      <c r="V91" s="9" t="str">
        <f t="shared" si="61"/>
        <v>[</v>
      </c>
      <c r="Z91" t="str">
        <f t="shared" si="74"/>
        <v>[]</v>
      </c>
      <c r="AA91" s="8" t="str">
        <f t="shared" si="62"/>
        <v>[</v>
      </c>
      <c r="AB91" t="str">
        <f t="shared" si="56"/>
        <v/>
      </c>
      <c r="AC91" t="str">
        <f t="shared" si="57"/>
        <v/>
      </c>
      <c r="AD91" t="str">
        <f t="shared" si="58"/>
        <v>[]</v>
      </c>
      <c r="AE91" t="str">
        <f t="shared" si="59"/>
        <v/>
      </c>
      <c r="AF91" t="str">
        <f t="shared" si="75"/>
        <v>visual_style23</v>
      </c>
      <c r="AG91">
        <f t="shared" si="60"/>
        <v>23</v>
      </c>
      <c r="AH91" t="str">
        <f t="shared" si="72"/>
        <v/>
      </c>
      <c r="BE91" t="str">
        <f t="shared" si="73"/>
        <v/>
      </c>
    </row>
    <row r="92" spans="3:57" ht="21.75" customHeight="1" x14ac:dyDescent="0.2">
      <c r="C92" s="1" t="str">
        <f t="shared" si="76"/>
        <v>CV</v>
      </c>
      <c r="D92" s="1" t="str">
        <f t="shared" si="77"/>
        <v>combining</v>
      </c>
      <c r="I92" s="3"/>
      <c r="J92" s="10"/>
      <c r="K92" s="10"/>
      <c r="L92" s="10"/>
      <c r="M92" s="10"/>
      <c r="N92" s="4"/>
      <c r="V92" s="9" t="str">
        <f t="shared" si="61"/>
        <v>[</v>
      </c>
      <c r="Z92" t="str">
        <f t="shared" si="74"/>
        <v>[]</v>
      </c>
      <c r="AA92" s="8" t="str">
        <f t="shared" si="62"/>
        <v>[</v>
      </c>
      <c r="AB92" t="str">
        <f t="shared" si="56"/>
        <v/>
      </c>
      <c r="AC92" t="str">
        <f t="shared" si="57"/>
        <v/>
      </c>
      <c r="AD92" t="str">
        <f t="shared" si="58"/>
        <v>[]</v>
      </c>
      <c r="AE92" t="str">
        <f t="shared" si="59"/>
        <v/>
      </c>
      <c r="AF92" t="str">
        <f t="shared" si="75"/>
        <v>visual_style23</v>
      </c>
      <c r="AG92">
        <f t="shared" si="60"/>
        <v>23</v>
      </c>
      <c r="AH92" t="str">
        <f t="shared" si="72"/>
        <v/>
      </c>
      <c r="BE92" t="str">
        <f t="shared" si="73"/>
        <v/>
      </c>
    </row>
    <row r="93" spans="3:57" ht="21.75" customHeight="1" x14ac:dyDescent="0.2">
      <c r="C93" s="1" t="str">
        <f t="shared" si="76"/>
        <v>CV</v>
      </c>
      <c r="D93" s="1" t="str">
        <f t="shared" si="77"/>
        <v>combining</v>
      </c>
      <c r="I93" s="3"/>
      <c r="J93" s="10"/>
      <c r="K93" s="10"/>
      <c r="L93" s="10"/>
      <c r="M93" s="10"/>
      <c r="N93" s="4"/>
      <c r="V93" s="9" t="str">
        <f t="shared" si="61"/>
        <v>[</v>
      </c>
      <c r="Z93" t="str">
        <f t="shared" si="74"/>
        <v>[]</v>
      </c>
      <c r="AA93" s="8" t="str">
        <f t="shared" si="62"/>
        <v>[</v>
      </c>
      <c r="AB93" t="str">
        <f t="shared" si="56"/>
        <v/>
      </c>
      <c r="AC93" t="str">
        <f t="shared" si="57"/>
        <v/>
      </c>
      <c r="AD93" t="str">
        <f t="shared" si="58"/>
        <v>[]</v>
      </c>
      <c r="AE93" t="str">
        <f t="shared" si="59"/>
        <v/>
      </c>
      <c r="AF93" t="str">
        <f t="shared" si="75"/>
        <v>visual_style23</v>
      </c>
      <c r="AG93">
        <f t="shared" si="60"/>
        <v>23</v>
      </c>
      <c r="AH93" t="str">
        <f t="shared" si="72"/>
        <v/>
      </c>
      <c r="BE93" t="str">
        <f t="shared" si="73"/>
        <v/>
      </c>
    </row>
    <row r="94" spans="3:57" ht="21.75" customHeight="1" x14ac:dyDescent="0.2">
      <c r="C94" s="1" t="str">
        <f t="shared" si="76"/>
        <v>CV</v>
      </c>
      <c r="D94" s="1" t="str">
        <f t="shared" si="77"/>
        <v>combining</v>
      </c>
      <c r="I94" s="3"/>
      <c r="J94" s="10"/>
      <c r="K94" s="10"/>
      <c r="L94" s="10"/>
      <c r="M94" s="10"/>
      <c r="N94" s="4"/>
      <c r="V94" s="9" t="str">
        <f t="shared" si="61"/>
        <v>[</v>
      </c>
      <c r="Z94" t="str">
        <f t="shared" si="74"/>
        <v>[]</v>
      </c>
      <c r="AA94" s="8" t="str">
        <f t="shared" si="62"/>
        <v>[</v>
      </c>
      <c r="AB94" t="str">
        <f t="shared" si="56"/>
        <v/>
      </c>
      <c r="AC94" t="str">
        <f t="shared" si="57"/>
        <v/>
      </c>
      <c r="AD94" t="str">
        <f t="shared" si="58"/>
        <v>[]</v>
      </c>
      <c r="AE94" t="str">
        <f t="shared" si="59"/>
        <v/>
      </c>
      <c r="AF94" t="str">
        <f t="shared" si="75"/>
        <v>visual_style23</v>
      </c>
      <c r="AG94">
        <f t="shared" si="60"/>
        <v>23</v>
      </c>
      <c r="AH94" t="str">
        <f t="shared" si="72"/>
        <v/>
      </c>
      <c r="BE94" t="str">
        <f t="shared" si="73"/>
        <v/>
      </c>
    </row>
    <row r="95" spans="3:57" ht="21.75" customHeight="1" x14ac:dyDescent="0.2">
      <c r="C95" s="1" t="str">
        <f t="shared" si="76"/>
        <v>CV</v>
      </c>
      <c r="D95" s="1" t="str">
        <f t="shared" si="77"/>
        <v>combining</v>
      </c>
      <c r="I95" s="3"/>
      <c r="J95" s="10"/>
      <c r="K95" s="10"/>
      <c r="L95" s="10"/>
      <c r="M95" s="10"/>
      <c r="N95" s="4"/>
      <c r="V95" s="9" t="str">
        <f t="shared" si="61"/>
        <v>[</v>
      </c>
      <c r="Z95" t="str">
        <f t="shared" si="74"/>
        <v>[]</v>
      </c>
      <c r="AA95" s="8" t="str">
        <f t="shared" si="62"/>
        <v>[</v>
      </c>
      <c r="AB95" t="str">
        <f t="shared" si="56"/>
        <v/>
      </c>
      <c r="AC95" t="str">
        <f t="shared" si="57"/>
        <v/>
      </c>
      <c r="AD95" t="str">
        <f t="shared" si="58"/>
        <v>[]</v>
      </c>
      <c r="AE95" t="str">
        <f t="shared" si="59"/>
        <v/>
      </c>
      <c r="AF95" t="str">
        <f t="shared" si="75"/>
        <v>visual_style23</v>
      </c>
      <c r="AG95">
        <f t="shared" si="60"/>
        <v>23</v>
      </c>
      <c r="AH95" t="str">
        <f t="shared" si="72"/>
        <v/>
      </c>
      <c r="BE95" t="str">
        <f t="shared" si="73"/>
        <v/>
      </c>
    </row>
    <row r="96" spans="3:57" ht="21.75" customHeight="1" x14ac:dyDescent="0.2">
      <c r="C96" s="1" t="str">
        <f t="shared" si="76"/>
        <v>CV</v>
      </c>
      <c r="D96" s="1" t="str">
        <f t="shared" si="77"/>
        <v>combining</v>
      </c>
      <c r="I96" s="3"/>
      <c r="J96" s="10"/>
      <c r="K96" s="10"/>
      <c r="L96" s="10"/>
      <c r="M96" s="10"/>
      <c r="N96" s="4"/>
      <c r="V96" s="9" t="str">
        <f t="shared" si="61"/>
        <v>[</v>
      </c>
      <c r="Z96" t="str">
        <f t="shared" si="74"/>
        <v>[]</v>
      </c>
      <c r="AA96" s="8" t="str">
        <f t="shared" si="62"/>
        <v>[</v>
      </c>
      <c r="AB96" t="str">
        <f t="shared" si="56"/>
        <v/>
      </c>
      <c r="AC96" t="str">
        <f t="shared" si="57"/>
        <v/>
      </c>
      <c r="AD96" t="str">
        <f t="shared" si="58"/>
        <v>[]</v>
      </c>
      <c r="AE96" t="str">
        <f t="shared" si="59"/>
        <v/>
      </c>
      <c r="AF96" t="str">
        <f t="shared" si="75"/>
        <v>visual_style23</v>
      </c>
      <c r="AG96">
        <f t="shared" si="60"/>
        <v>23</v>
      </c>
      <c r="AH96" t="str">
        <f t="shared" si="72"/>
        <v/>
      </c>
      <c r="BE96" t="str">
        <f t="shared" si="73"/>
        <v/>
      </c>
    </row>
    <row r="97" spans="3:57" ht="21.75" customHeight="1" x14ac:dyDescent="0.2">
      <c r="C97" s="1" t="str">
        <f t="shared" si="76"/>
        <v>CV</v>
      </c>
      <c r="D97" s="1" t="str">
        <f t="shared" si="77"/>
        <v>combining</v>
      </c>
      <c r="I97" s="3"/>
      <c r="J97" s="10"/>
      <c r="K97" s="10"/>
      <c r="L97" s="10"/>
      <c r="M97" s="10"/>
      <c r="N97" s="4"/>
      <c r="V97" s="9" t="str">
        <f t="shared" si="61"/>
        <v>[</v>
      </c>
      <c r="Z97" t="str">
        <f t="shared" si="74"/>
        <v>[]</v>
      </c>
      <c r="AA97" s="8" t="str">
        <f t="shared" si="62"/>
        <v>[</v>
      </c>
      <c r="AB97" t="str">
        <f t="shared" si="56"/>
        <v/>
      </c>
      <c r="AC97" t="str">
        <f t="shared" si="57"/>
        <v/>
      </c>
      <c r="AD97" t="str">
        <f t="shared" si="58"/>
        <v>[]</v>
      </c>
      <c r="AE97" t="str">
        <f t="shared" si="59"/>
        <v/>
      </c>
      <c r="AF97" t="str">
        <f t="shared" si="75"/>
        <v>visual_style23</v>
      </c>
      <c r="AG97">
        <f t="shared" si="60"/>
        <v>23</v>
      </c>
      <c r="AH97" t="str">
        <f t="shared" si="72"/>
        <v/>
      </c>
      <c r="BE97" t="str">
        <f t="shared" si="73"/>
        <v/>
      </c>
    </row>
    <row r="98" spans="3:57" ht="21.75" customHeight="1" x14ac:dyDescent="0.2">
      <c r="C98" s="1" t="str">
        <f t="shared" si="76"/>
        <v>CV</v>
      </c>
      <c r="D98" s="1" t="str">
        <f t="shared" si="77"/>
        <v>combining</v>
      </c>
      <c r="I98" s="3"/>
      <c r="J98" s="10"/>
      <c r="K98" s="10"/>
      <c r="L98" s="10"/>
      <c r="M98" s="10"/>
      <c r="N98" s="4"/>
      <c r="V98" s="9" t="str">
        <f t="shared" si="61"/>
        <v>[</v>
      </c>
      <c r="Z98" t="str">
        <f t="shared" si="74"/>
        <v>[]</v>
      </c>
      <c r="AA98" s="8" t="str">
        <f t="shared" si="62"/>
        <v>[</v>
      </c>
      <c r="AB98" t="str">
        <f t="shared" si="56"/>
        <v/>
      </c>
      <c r="AC98" t="str">
        <f t="shared" si="57"/>
        <v/>
      </c>
      <c r="AD98" t="str">
        <f t="shared" si="58"/>
        <v>[]</v>
      </c>
      <c r="AE98" t="str">
        <f t="shared" si="59"/>
        <v/>
      </c>
      <c r="AF98" t="str">
        <f t="shared" si="75"/>
        <v>visual_style23</v>
      </c>
      <c r="AG98">
        <f t="shared" si="60"/>
        <v>23</v>
      </c>
      <c r="AH98" t="str">
        <f t="shared" si="72"/>
        <v/>
      </c>
      <c r="BE98" t="str">
        <f t="shared" si="73"/>
        <v/>
      </c>
    </row>
    <row r="99" spans="3:57" ht="21.75" customHeight="1" x14ac:dyDescent="0.2">
      <c r="C99" s="1" t="str">
        <f t="shared" si="76"/>
        <v>CV</v>
      </c>
      <c r="D99" s="1" t="str">
        <f t="shared" si="77"/>
        <v>combining</v>
      </c>
      <c r="I99" s="3"/>
      <c r="J99" s="10"/>
      <c r="K99" s="10"/>
      <c r="L99" s="10"/>
      <c r="M99" s="10"/>
      <c r="N99" s="4"/>
      <c r="V99" s="9" t="str">
        <f t="shared" si="61"/>
        <v>[</v>
      </c>
      <c r="Z99" t="str">
        <f t="shared" si="74"/>
        <v>[]</v>
      </c>
      <c r="AA99" s="8" t="str">
        <f t="shared" si="62"/>
        <v>[</v>
      </c>
      <c r="AB99" t="str">
        <f t="shared" si="56"/>
        <v/>
      </c>
      <c r="AC99" t="str">
        <f t="shared" si="57"/>
        <v/>
      </c>
      <c r="AD99" t="str">
        <f t="shared" si="58"/>
        <v>[]</v>
      </c>
      <c r="AE99" t="str">
        <f t="shared" si="59"/>
        <v/>
      </c>
      <c r="AF99" t="str">
        <f t="shared" si="75"/>
        <v>visual_style23</v>
      </c>
      <c r="AG99">
        <f t="shared" si="60"/>
        <v>23</v>
      </c>
      <c r="AH99" t="str">
        <f t="shared" si="72"/>
        <v/>
      </c>
      <c r="BE99" t="str">
        <f t="shared" si="73"/>
        <v/>
      </c>
    </row>
    <row r="100" spans="3:57" ht="21.75" customHeight="1" x14ac:dyDescent="0.2">
      <c r="C100" s="1" t="str">
        <f t="shared" si="76"/>
        <v>CV</v>
      </c>
      <c r="D100" s="1" t="str">
        <f t="shared" si="77"/>
        <v>combining</v>
      </c>
      <c r="I100" s="3"/>
      <c r="J100" s="10"/>
      <c r="K100" s="10"/>
      <c r="L100" s="10"/>
      <c r="M100" s="10"/>
      <c r="N100" s="4"/>
      <c r="V100" s="9" t="str">
        <f t="shared" si="61"/>
        <v>[</v>
      </c>
      <c r="Z100" t="str">
        <f t="shared" si="74"/>
        <v>[]</v>
      </c>
      <c r="AA100" s="8" t="str">
        <f t="shared" si="62"/>
        <v>[</v>
      </c>
      <c r="AB100" t="str">
        <f t="shared" si="56"/>
        <v/>
      </c>
      <c r="AC100" t="str">
        <f t="shared" si="57"/>
        <v/>
      </c>
      <c r="AD100" t="str">
        <f t="shared" si="58"/>
        <v>[]</v>
      </c>
      <c r="AE100" t="str">
        <f t="shared" si="59"/>
        <v/>
      </c>
      <c r="AF100" t="str">
        <f t="shared" si="75"/>
        <v>visual_style23</v>
      </c>
      <c r="AG100">
        <f t="shared" si="60"/>
        <v>23</v>
      </c>
      <c r="AH100" t="str">
        <f t="shared" si="72"/>
        <v/>
      </c>
      <c r="BE100" t="str">
        <f t="shared" si="73"/>
        <v/>
      </c>
    </row>
    <row r="101" spans="3:57" ht="21.75" customHeight="1" x14ac:dyDescent="0.2">
      <c r="C101" s="1" t="str">
        <f t="shared" si="76"/>
        <v>CV</v>
      </c>
      <c r="D101" s="1" t="str">
        <f t="shared" si="77"/>
        <v>combining</v>
      </c>
      <c r="I101" s="3"/>
      <c r="J101" s="10"/>
      <c r="K101" s="10"/>
      <c r="L101" s="10"/>
      <c r="M101" s="10"/>
      <c r="N101" s="4"/>
      <c r="V101" s="9" t="str">
        <f t="shared" si="61"/>
        <v>[</v>
      </c>
      <c r="Z101" t="str">
        <f t="shared" si="74"/>
        <v>[]</v>
      </c>
      <c r="AA101" s="8" t="str">
        <f t="shared" si="62"/>
        <v>[</v>
      </c>
      <c r="AB101" t="str">
        <f t="shared" si="56"/>
        <v/>
      </c>
      <c r="AC101" t="str">
        <f t="shared" si="57"/>
        <v/>
      </c>
      <c r="AD101" t="str">
        <f t="shared" si="58"/>
        <v>[]</v>
      </c>
      <c r="AE101" t="str">
        <f t="shared" si="59"/>
        <v/>
      </c>
      <c r="AF101" t="str">
        <f t="shared" si="75"/>
        <v>visual_style23</v>
      </c>
      <c r="AG101">
        <f t="shared" si="60"/>
        <v>23</v>
      </c>
      <c r="AH101" t="str">
        <f t="shared" si="72"/>
        <v/>
      </c>
      <c r="BE101" t="str">
        <f t="shared" si="73"/>
        <v/>
      </c>
    </row>
    <row r="102" spans="3:57" ht="21.75" customHeight="1" x14ac:dyDescent="0.2">
      <c r="C102" s="1" t="str">
        <f t="shared" si="76"/>
        <v>CV</v>
      </c>
      <c r="D102" s="1" t="str">
        <f t="shared" si="77"/>
        <v>combining</v>
      </c>
      <c r="I102" s="3"/>
      <c r="J102" s="10"/>
      <c r="K102" s="10"/>
      <c r="L102" s="10"/>
      <c r="M102" s="10"/>
      <c r="N102" s="4"/>
      <c r="V102" s="9" t="str">
        <f t="shared" si="61"/>
        <v>[</v>
      </c>
      <c r="Z102" t="str">
        <f t="shared" si="74"/>
        <v>[]</v>
      </c>
      <c r="AA102" s="8" t="str">
        <f t="shared" si="62"/>
        <v>[</v>
      </c>
      <c r="AB102" t="str">
        <f t="shared" si="56"/>
        <v/>
      </c>
      <c r="AC102" t="str">
        <f t="shared" si="57"/>
        <v/>
      </c>
      <c r="AD102" t="str">
        <f t="shared" si="58"/>
        <v>[]</v>
      </c>
      <c r="AE102" t="str">
        <f t="shared" si="59"/>
        <v/>
      </c>
      <c r="AF102" t="str">
        <f t="shared" si="75"/>
        <v>visual_style23</v>
      </c>
      <c r="AG102">
        <f t="shared" si="60"/>
        <v>23</v>
      </c>
      <c r="AH102" t="str">
        <f t="shared" si="72"/>
        <v/>
      </c>
      <c r="BE102" t="str">
        <f t="shared" si="73"/>
        <v/>
      </c>
    </row>
    <row r="103" spans="3:57" ht="21.75" customHeight="1" x14ac:dyDescent="0.2">
      <c r="C103" s="1" t="str">
        <f t="shared" si="76"/>
        <v>CV</v>
      </c>
      <c r="D103" s="1" t="str">
        <f t="shared" si="77"/>
        <v>combining</v>
      </c>
      <c r="I103" s="3"/>
      <c r="J103" s="10"/>
      <c r="K103" s="10"/>
      <c r="L103" s="10"/>
      <c r="M103" s="10"/>
      <c r="N103" s="4"/>
      <c r="V103" s="9" t="str">
        <f t="shared" si="61"/>
        <v>[</v>
      </c>
      <c r="Z103" t="str">
        <f t="shared" si="74"/>
        <v>[]</v>
      </c>
      <c r="AA103" s="8" t="str">
        <f t="shared" si="62"/>
        <v>[</v>
      </c>
      <c r="AB103" t="str">
        <f t="shared" si="56"/>
        <v/>
      </c>
      <c r="AC103" t="str">
        <f t="shared" si="57"/>
        <v/>
      </c>
      <c r="AD103" t="str">
        <f t="shared" si="58"/>
        <v>[]</v>
      </c>
      <c r="AE103" t="str">
        <f t="shared" si="59"/>
        <v/>
      </c>
      <c r="AF103" t="str">
        <f t="shared" si="75"/>
        <v>visual_style23</v>
      </c>
      <c r="AG103">
        <f t="shared" si="60"/>
        <v>23</v>
      </c>
      <c r="AH103" t="str">
        <f t="shared" si="72"/>
        <v/>
      </c>
      <c r="BE103" t="str">
        <f t="shared" si="73"/>
        <v/>
      </c>
    </row>
    <row r="104" spans="3:57" ht="21.75" customHeight="1" x14ac:dyDescent="0.2">
      <c r="C104" s="1" t="str">
        <f t="shared" si="76"/>
        <v>CV</v>
      </c>
      <c r="D104" s="1" t="str">
        <f t="shared" si="77"/>
        <v>combining</v>
      </c>
      <c r="I104" s="3"/>
      <c r="J104" s="10"/>
      <c r="K104" s="10"/>
      <c r="L104" s="10"/>
      <c r="M104" s="10"/>
      <c r="N104" s="4"/>
      <c r="V104" s="9" t="str">
        <f t="shared" si="61"/>
        <v>[</v>
      </c>
      <c r="Z104" t="str">
        <f t="shared" si="74"/>
        <v>[]</v>
      </c>
      <c r="AA104" s="8" t="str">
        <f t="shared" si="62"/>
        <v>[</v>
      </c>
      <c r="AB104" t="str">
        <f t="shared" si="56"/>
        <v/>
      </c>
      <c r="AC104" t="str">
        <f t="shared" si="57"/>
        <v/>
      </c>
      <c r="AD104" t="str">
        <f t="shared" si="58"/>
        <v>[]</v>
      </c>
      <c r="AE104" t="str">
        <f t="shared" si="59"/>
        <v/>
      </c>
      <c r="AF104" t="str">
        <f t="shared" si="75"/>
        <v>visual_style23</v>
      </c>
      <c r="AG104">
        <f t="shared" si="60"/>
        <v>23</v>
      </c>
      <c r="AH104" t="str">
        <f t="shared" si="72"/>
        <v/>
      </c>
      <c r="BE104" t="str">
        <f t="shared" si="73"/>
        <v/>
      </c>
    </row>
    <row r="105" spans="3:57" ht="21.75" customHeight="1" x14ac:dyDescent="0.2">
      <c r="C105" s="1" t="str">
        <f t="shared" si="76"/>
        <v>CV</v>
      </c>
      <c r="D105" s="1" t="str">
        <f t="shared" si="77"/>
        <v>combining</v>
      </c>
      <c r="I105" s="3"/>
      <c r="J105" s="10"/>
      <c r="K105" s="10"/>
      <c r="L105" s="10"/>
      <c r="M105" s="10"/>
      <c r="N105" s="4"/>
      <c r="V105" s="9" t="str">
        <f t="shared" si="61"/>
        <v>[</v>
      </c>
      <c r="Z105" t="str">
        <f t="shared" si="74"/>
        <v>[]</v>
      </c>
      <c r="AA105" s="8" t="str">
        <f t="shared" si="62"/>
        <v>[</v>
      </c>
      <c r="AB105" t="str">
        <f t="shared" si="56"/>
        <v/>
      </c>
      <c r="AC105" t="str">
        <f t="shared" si="57"/>
        <v/>
      </c>
      <c r="AD105" t="str">
        <f t="shared" si="58"/>
        <v>[]</v>
      </c>
      <c r="AE105" t="str">
        <f t="shared" si="59"/>
        <v/>
      </c>
      <c r="AF105" t="str">
        <f t="shared" si="75"/>
        <v>visual_style23</v>
      </c>
      <c r="AG105">
        <f t="shared" si="60"/>
        <v>23</v>
      </c>
      <c r="AH105" t="str">
        <f t="shared" si="72"/>
        <v/>
      </c>
      <c r="BE105" t="str">
        <f t="shared" si="73"/>
        <v/>
      </c>
    </row>
    <row r="106" spans="3:57" ht="21.75" customHeight="1" x14ac:dyDescent="0.2">
      <c r="C106" s="1" t="str">
        <f t="shared" si="76"/>
        <v>CV</v>
      </c>
      <c r="D106" s="1" t="str">
        <f t="shared" si="77"/>
        <v>combining</v>
      </c>
      <c r="I106" s="3"/>
      <c r="J106" s="10"/>
      <c r="K106" s="10"/>
      <c r="L106" s="10"/>
      <c r="M106" s="10"/>
      <c r="N106" s="4"/>
      <c r="V106" s="9" t="str">
        <f t="shared" si="61"/>
        <v>[</v>
      </c>
      <c r="Z106" t="str">
        <f t="shared" si="74"/>
        <v>[]</v>
      </c>
      <c r="AA106" s="8" t="str">
        <f t="shared" si="62"/>
        <v>[</v>
      </c>
      <c r="AB106" t="str">
        <f t="shared" si="56"/>
        <v/>
      </c>
      <c r="AC106" t="str">
        <f t="shared" si="57"/>
        <v/>
      </c>
      <c r="AD106" t="str">
        <f t="shared" si="58"/>
        <v>[]</v>
      </c>
      <c r="AE106" t="str">
        <f t="shared" si="59"/>
        <v/>
      </c>
      <c r="AF106" t="str">
        <f t="shared" si="75"/>
        <v>visual_style23</v>
      </c>
      <c r="AG106">
        <f t="shared" si="60"/>
        <v>23</v>
      </c>
      <c r="AH106" t="str">
        <f t="shared" si="72"/>
        <v/>
      </c>
      <c r="BE106" t="str">
        <f t="shared" si="73"/>
        <v/>
      </c>
    </row>
    <row r="107" spans="3:57" ht="21.75" customHeight="1" x14ac:dyDescent="0.2">
      <c r="C107" s="1" t="str">
        <f t="shared" si="76"/>
        <v>CV</v>
      </c>
      <c r="D107" s="1" t="str">
        <f t="shared" si="77"/>
        <v>combining</v>
      </c>
      <c r="I107" s="3"/>
      <c r="J107" s="10"/>
      <c r="K107" s="10"/>
      <c r="L107" s="10"/>
      <c r="M107" s="10"/>
      <c r="N107" s="4"/>
      <c r="V107" s="9" t="str">
        <f t="shared" si="61"/>
        <v>[</v>
      </c>
      <c r="Z107" t="str">
        <f t="shared" si="74"/>
        <v>[]</v>
      </c>
      <c r="AA107" s="8" t="str">
        <f t="shared" si="62"/>
        <v>[</v>
      </c>
      <c r="AB107" t="str">
        <f t="shared" si="56"/>
        <v/>
      </c>
      <c r="AC107" t="str">
        <f t="shared" si="57"/>
        <v/>
      </c>
      <c r="AD107" t="str">
        <f t="shared" si="58"/>
        <v>[]</v>
      </c>
      <c r="AE107" t="str">
        <f t="shared" si="59"/>
        <v/>
      </c>
      <c r="AF107" t="str">
        <f t="shared" si="75"/>
        <v>visual_style23</v>
      </c>
      <c r="AG107">
        <f t="shared" si="60"/>
        <v>23</v>
      </c>
      <c r="AH107" t="str">
        <f t="shared" si="72"/>
        <v/>
      </c>
      <c r="BE107" t="str">
        <f t="shared" si="73"/>
        <v/>
      </c>
    </row>
    <row r="108" spans="3:57" ht="21.75" customHeight="1" x14ac:dyDescent="0.2">
      <c r="C108" s="1" t="str">
        <f t="shared" si="76"/>
        <v>CV</v>
      </c>
      <c r="D108" s="1" t="str">
        <f t="shared" si="77"/>
        <v>combining</v>
      </c>
      <c r="I108" s="3"/>
      <c r="J108" s="10"/>
      <c r="K108" s="10"/>
      <c r="L108" s="10"/>
      <c r="M108" s="10"/>
      <c r="N108" s="4"/>
      <c r="V108" s="9" t="str">
        <f t="shared" si="61"/>
        <v>[</v>
      </c>
      <c r="Z108" t="str">
        <f t="shared" si="74"/>
        <v>[]</v>
      </c>
      <c r="AA108" s="8" t="str">
        <f t="shared" si="62"/>
        <v>[</v>
      </c>
      <c r="AB108" t="str">
        <f t="shared" si="56"/>
        <v/>
      </c>
      <c r="AC108" t="str">
        <f t="shared" si="57"/>
        <v/>
      </c>
      <c r="AD108" t="str">
        <f t="shared" si="58"/>
        <v>[]</v>
      </c>
      <c r="AE108" t="str">
        <f t="shared" si="59"/>
        <v/>
      </c>
      <c r="AF108" t="str">
        <f t="shared" si="75"/>
        <v>visual_style23</v>
      </c>
      <c r="AG108">
        <f t="shared" si="60"/>
        <v>23</v>
      </c>
      <c r="AH108" t="str">
        <f t="shared" si="72"/>
        <v/>
      </c>
      <c r="BE108" t="str">
        <f t="shared" si="73"/>
        <v/>
      </c>
    </row>
    <row r="109" spans="3:57" ht="21.75" customHeight="1" x14ac:dyDescent="0.2">
      <c r="C109" s="1" t="str">
        <f t="shared" si="76"/>
        <v>CV</v>
      </c>
      <c r="D109" s="1" t="str">
        <f t="shared" si="77"/>
        <v>combining</v>
      </c>
      <c r="I109" s="3"/>
      <c r="J109" s="10"/>
      <c r="K109" s="10"/>
      <c r="L109" s="10"/>
      <c r="M109" s="10"/>
      <c r="N109" s="4"/>
      <c r="V109" s="9" t="str">
        <f t="shared" si="61"/>
        <v>[</v>
      </c>
      <c r="Z109" t="str">
        <f t="shared" si="74"/>
        <v>[]</v>
      </c>
      <c r="AA109" s="8" t="str">
        <f t="shared" si="62"/>
        <v>[</v>
      </c>
      <c r="AB109" t="str">
        <f t="shared" si="56"/>
        <v/>
      </c>
      <c r="AC109" t="str">
        <f t="shared" si="57"/>
        <v/>
      </c>
      <c r="AD109" t="str">
        <f t="shared" si="58"/>
        <v>[]</v>
      </c>
      <c r="AE109" t="str">
        <f t="shared" si="59"/>
        <v/>
      </c>
      <c r="AF109" t="str">
        <f t="shared" si="75"/>
        <v>visual_style23</v>
      </c>
      <c r="AG109">
        <f t="shared" si="60"/>
        <v>23</v>
      </c>
      <c r="AH109" t="str">
        <f t="shared" si="72"/>
        <v/>
      </c>
      <c r="BE109" t="str">
        <f t="shared" si="73"/>
        <v/>
      </c>
    </row>
    <row r="110" spans="3:57" x14ac:dyDescent="0.2">
      <c r="I110" s="3"/>
      <c r="J110" s="10"/>
      <c r="K110" s="10"/>
      <c r="L110" s="10"/>
      <c r="M110" s="10"/>
      <c r="N110" s="4"/>
    </row>
    <row r="111" spans="3:57" x14ac:dyDescent="0.2">
      <c r="I111" s="3"/>
      <c r="J111" s="10"/>
      <c r="K111" s="10"/>
      <c r="L111" s="10"/>
      <c r="M111" s="10"/>
      <c r="N111" s="4"/>
    </row>
    <row r="112" spans="3:57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5">
    <mergeCell ref="F1:I1"/>
    <mergeCell ref="N1:P1"/>
    <mergeCell ref="J1:M1"/>
    <mergeCell ref="Q1:S1"/>
    <mergeCell ref="BC1:B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A16" workbookViewId="0">
      <selection activeCell="H28" sqref="H28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39.5703125" customWidth="1"/>
    <col min="9" max="9" width="14.85546875" customWidth="1"/>
  </cols>
  <sheetData>
    <row r="1" spans="1:11" x14ac:dyDescent="0.2">
      <c r="A1" t="s">
        <v>176</v>
      </c>
      <c r="G1" t="s">
        <v>245</v>
      </c>
      <c r="H1" t="s">
        <v>246</v>
      </c>
      <c r="I1" t="s">
        <v>105</v>
      </c>
      <c r="J1" t="s">
        <v>247</v>
      </c>
      <c r="K1" t="s">
        <v>250</v>
      </c>
    </row>
    <row r="2" spans="1:11" x14ac:dyDescent="0.2">
      <c r="A2" s="13" t="s">
        <v>176</v>
      </c>
      <c r="B2" t="s">
        <v>177</v>
      </c>
      <c r="D2" t="s">
        <v>210</v>
      </c>
      <c r="F2" t="s">
        <v>249</v>
      </c>
      <c r="H2" t="s">
        <v>248</v>
      </c>
    </row>
    <row r="3" spans="1:11" x14ac:dyDescent="0.2">
      <c r="A3" s="13" t="s">
        <v>176</v>
      </c>
      <c r="B3" t="s">
        <v>175</v>
      </c>
      <c r="F3" t="s">
        <v>238</v>
      </c>
      <c r="J3" t="s">
        <v>248</v>
      </c>
    </row>
    <row r="4" spans="1:11" x14ac:dyDescent="0.2">
      <c r="A4" s="13" t="s">
        <v>176</v>
      </c>
      <c r="B4" t="s">
        <v>178</v>
      </c>
      <c r="F4" t="s">
        <v>239</v>
      </c>
      <c r="K4" t="s">
        <v>251</v>
      </c>
    </row>
    <row r="5" spans="1:11" ht="25.5" x14ac:dyDescent="0.2">
      <c r="A5" s="13" t="s">
        <v>176</v>
      </c>
      <c r="B5" t="s">
        <v>211</v>
      </c>
      <c r="D5" t="s">
        <v>212</v>
      </c>
      <c r="F5" t="s">
        <v>240</v>
      </c>
    </row>
    <row r="6" spans="1:11" s="12" customFormat="1" x14ac:dyDescent="0.2">
      <c r="A6" s="12" t="s">
        <v>179</v>
      </c>
      <c r="B6" s="12" t="s">
        <v>180</v>
      </c>
      <c r="F6" s="12" t="s">
        <v>241</v>
      </c>
      <c r="I6" s="12" t="s">
        <v>252</v>
      </c>
    </row>
    <row r="7" spans="1:11" s="12" customFormat="1" x14ac:dyDescent="0.2">
      <c r="A7" s="12" t="s">
        <v>179</v>
      </c>
      <c r="B7" s="12" t="s">
        <v>181</v>
      </c>
      <c r="F7" s="12" t="s">
        <v>241</v>
      </c>
      <c r="I7" s="12" t="s">
        <v>252</v>
      </c>
    </row>
    <row r="8" spans="1:11" s="12" customFormat="1" x14ac:dyDescent="0.2">
      <c r="A8" s="12" t="s">
        <v>179</v>
      </c>
      <c r="B8" s="12" t="s">
        <v>182</v>
      </c>
      <c r="F8" s="12" t="s">
        <v>241</v>
      </c>
      <c r="I8" s="12" t="s">
        <v>252</v>
      </c>
    </row>
    <row r="9" spans="1:11" s="12" customFormat="1" x14ac:dyDescent="0.2">
      <c r="A9" s="12" t="s">
        <v>179</v>
      </c>
      <c r="B9" s="12" t="s">
        <v>191</v>
      </c>
      <c r="F9" s="12" t="s">
        <v>241</v>
      </c>
      <c r="I9" s="12" t="s">
        <v>252</v>
      </c>
    </row>
    <row r="10" spans="1:11" x14ac:dyDescent="0.2">
      <c r="A10" t="s">
        <v>183</v>
      </c>
      <c r="B10" t="s">
        <v>183</v>
      </c>
      <c r="G10" t="s">
        <v>248</v>
      </c>
    </row>
    <row r="11" spans="1:11" x14ac:dyDescent="0.2">
      <c r="A11" t="s">
        <v>183</v>
      </c>
      <c r="B11" t="s">
        <v>242</v>
      </c>
      <c r="G11" t="s">
        <v>253</v>
      </c>
    </row>
    <row r="12" spans="1:11" x14ac:dyDescent="0.2">
      <c r="A12" t="s">
        <v>183</v>
      </c>
      <c r="B12" t="s">
        <v>243</v>
      </c>
      <c r="F12" s="13" t="s">
        <v>261</v>
      </c>
    </row>
    <row r="13" spans="1:11" x14ac:dyDescent="0.2">
      <c r="A13" t="s">
        <v>183</v>
      </c>
      <c r="B13" t="s">
        <v>185</v>
      </c>
      <c r="F13" s="13" t="s">
        <v>254</v>
      </c>
      <c r="K13" s="13"/>
    </row>
    <row r="14" spans="1:11" x14ac:dyDescent="0.2">
      <c r="A14" t="s">
        <v>183</v>
      </c>
      <c r="B14" t="s">
        <v>186</v>
      </c>
      <c r="K14" s="13" t="s">
        <v>255</v>
      </c>
    </row>
    <row r="15" spans="1:11" x14ac:dyDescent="0.2">
      <c r="A15" t="s">
        <v>183</v>
      </c>
      <c r="B15" t="s">
        <v>187</v>
      </c>
      <c r="K15" s="13" t="s">
        <v>256</v>
      </c>
    </row>
    <row r="16" spans="1:11" x14ac:dyDescent="0.2">
      <c r="A16" t="s">
        <v>183</v>
      </c>
      <c r="B16" t="s">
        <v>188</v>
      </c>
      <c r="K16" s="13" t="s">
        <v>257</v>
      </c>
    </row>
    <row r="17" spans="1:11" x14ac:dyDescent="0.2">
      <c r="A17" t="s">
        <v>189</v>
      </c>
      <c r="B17" t="s">
        <v>189</v>
      </c>
      <c r="K17" s="13" t="s">
        <v>258</v>
      </c>
    </row>
    <row r="18" spans="1:11" x14ac:dyDescent="0.2">
      <c r="A18" t="s">
        <v>189</v>
      </c>
      <c r="B18" t="s">
        <v>190</v>
      </c>
      <c r="K18" s="13" t="s">
        <v>259</v>
      </c>
    </row>
    <row r="19" spans="1:11" x14ac:dyDescent="0.2">
      <c r="A19" t="s">
        <v>182</v>
      </c>
      <c r="B19" t="s">
        <v>192</v>
      </c>
      <c r="I19" s="13" t="s">
        <v>260</v>
      </c>
    </row>
    <row r="20" spans="1:11" x14ac:dyDescent="0.2">
      <c r="A20" t="s">
        <v>182</v>
      </c>
      <c r="B20" t="s">
        <v>193</v>
      </c>
      <c r="I20" s="13" t="s">
        <v>260</v>
      </c>
    </row>
    <row r="21" spans="1:11" x14ac:dyDescent="0.2">
      <c r="A21" t="s">
        <v>182</v>
      </c>
      <c r="B21" t="s">
        <v>194</v>
      </c>
    </row>
    <row r="22" spans="1:11" x14ac:dyDescent="0.2">
      <c r="A22" t="s">
        <v>182</v>
      </c>
      <c r="B22" t="s">
        <v>195</v>
      </c>
    </row>
    <row r="23" spans="1:11" x14ac:dyDescent="0.2">
      <c r="A23" t="s">
        <v>182</v>
      </c>
      <c r="B23" t="s">
        <v>196</v>
      </c>
    </row>
    <row r="24" spans="1:11" x14ac:dyDescent="0.2">
      <c r="A24" t="s">
        <v>182</v>
      </c>
      <c r="B24" t="s">
        <v>204</v>
      </c>
    </row>
    <row r="25" spans="1:11" x14ac:dyDescent="0.2">
      <c r="A25" t="s">
        <v>197</v>
      </c>
      <c r="B25" t="s">
        <v>198</v>
      </c>
    </row>
    <row r="26" spans="1:11" ht="25.5" x14ac:dyDescent="0.2">
      <c r="A26" t="s">
        <v>184</v>
      </c>
      <c r="B26" t="s">
        <v>199</v>
      </c>
    </row>
    <row r="27" spans="1:11" x14ac:dyDescent="0.2">
      <c r="A27" t="s">
        <v>184</v>
      </c>
      <c r="B27" t="s">
        <v>200</v>
      </c>
    </row>
    <row r="28" spans="1:11" x14ac:dyDescent="0.2">
      <c r="A28" t="s">
        <v>215</v>
      </c>
    </row>
    <row r="29" spans="1:11" ht="25.5" x14ac:dyDescent="0.2">
      <c r="B29" t="s">
        <v>213</v>
      </c>
      <c r="F29" t="s">
        <v>244</v>
      </c>
    </row>
    <row r="30" spans="1:11" x14ac:dyDescent="0.2">
      <c r="B30" t="s">
        <v>214</v>
      </c>
    </row>
    <row r="32" spans="1:11" x14ac:dyDescent="0.2">
      <c r="A32" t="s">
        <v>201</v>
      </c>
    </row>
    <row r="33" spans="1:2" x14ac:dyDescent="0.2">
      <c r="B33" t="s">
        <v>202</v>
      </c>
    </row>
    <row r="34" spans="1:2" x14ac:dyDescent="0.2">
      <c r="B34" t="s">
        <v>203</v>
      </c>
    </row>
    <row r="38" spans="1:2" x14ac:dyDescent="0.2">
      <c r="A38" t="s">
        <v>205</v>
      </c>
    </row>
    <row r="39" spans="1:2" x14ac:dyDescent="0.2">
      <c r="B39" t="s">
        <v>206</v>
      </c>
    </row>
    <row r="40" spans="1:2" x14ac:dyDescent="0.2">
      <c r="B40" t="s">
        <v>207</v>
      </c>
    </row>
    <row r="41" spans="1:2" x14ac:dyDescent="0.2">
      <c r="A41" t="s">
        <v>208</v>
      </c>
    </row>
    <row r="42" spans="1:2" x14ac:dyDescent="0.2">
      <c r="B42" t="s">
        <v>209</v>
      </c>
    </row>
    <row r="43" spans="1:2" ht="25.5" x14ac:dyDescent="0.2">
      <c r="B43" t="s">
        <v>216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7"/>
  <sheetViews>
    <sheetView topLeftCell="C1" zoomScaleNormal="100" workbookViewId="0">
      <pane xSplit="7050" ySplit="540" topLeftCell="W1" activePane="bottomRight"/>
      <selection activeCell="C1" sqref="A1:XFD1048576"/>
      <selection pane="topRight" activeCell="AD1" sqref="AD1:AD1048576"/>
      <selection pane="bottomLeft" activeCell="O1" sqref="O1"/>
      <selection pane="bottomRight" activeCell="Y2" sqref="Y2"/>
    </sheetView>
  </sheetViews>
  <sheetFormatPr defaultColWidth="17.140625" defaultRowHeight="12.75" customHeight="1" x14ac:dyDescent="0.2"/>
  <cols>
    <col min="1" max="3" width="17.140625" style="14"/>
    <col min="4" max="4" width="8.5703125" style="16" customWidth="1"/>
    <col min="5" max="7" width="8.5703125" style="14" customWidth="1"/>
    <col min="8" max="8" width="12" style="14" bestFit="1" customWidth="1"/>
    <col min="9" max="9" width="9.7109375" style="14" customWidth="1"/>
    <col min="10" max="10" width="9.28515625" style="14" customWidth="1"/>
    <col min="11" max="11" width="10" style="14" customWidth="1"/>
    <col min="12" max="13" width="5.85546875" style="14" customWidth="1"/>
    <col min="14" max="14" width="5.85546875" style="17" customWidth="1"/>
    <col min="15" max="15" width="13.28515625" style="14" customWidth="1"/>
    <col min="16" max="17" width="10.7109375" style="14" customWidth="1"/>
    <col min="18" max="18" width="46.140625" style="15" customWidth="1"/>
    <col min="19" max="19" width="25.7109375" style="14" customWidth="1"/>
    <col min="20" max="20" width="17.140625" style="14"/>
    <col min="21" max="21" width="23.7109375" style="14" customWidth="1"/>
    <col min="22" max="22" width="87.7109375" style="14" customWidth="1"/>
    <col min="23" max="26" width="17.140625" style="14"/>
    <col min="27" max="27" width="21.28515625" style="14" customWidth="1"/>
    <col min="28" max="16384" width="17.140625" style="14"/>
  </cols>
  <sheetData>
    <row r="1" spans="1:29" ht="14.25" customHeight="1" x14ac:dyDescent="0.2">
      <c r="A1" s="14" t="s">
        <v>0</v>
      </c>
      <c r="C1" s="14" t="s">
        <v>295</v>
      </c>
      <c r="D1" s="25" t="s">
        <v>1</v>
      </c>
      <c r="E1" s="25"/>
      <c r="F1" s="25"/>
      <c r="G1" s="25"/>
      <c r="H1" s="25" t="s">
        <v>156</v>
      </c>
      <c r="I1" s="25"/>
      <c r="J1" s="25"/>
      <c r="K1" s="25"/>
      <c r="L1" s="25" t="s">
        <v>2</v>
      </c>
      <c r="M1" s="25"/>
      <c r="N1" s="25"/>
      <c r="O1" s="25" t="s">
        <v>157</v>
      </c>
      <c r="P1" s="25"/>
      <c r="Q1" s="25"/>
      <c r="R1" s="15" t="s">
        <v>3</v>
      </c>
      <c r="S1" s="14" t="s">
        <v>4</v>
      </c>
      <c r="U1" s="14" t="s">
        <v>165</v>
      </c>
      <c r="V1" s="14" t="s">
        <v>166</v>
      </c>
      <c r="W1" s="14" t="s">
        <v>168</v>
      </c>
      <c r="X1" s="14" t="s">
        <v>218</v>
      </c>
      <c r="Y1" s="14" t="s">
        <v>227</v>
      </c>
      <c r="Z1" s="14" t="s">
        <v>228</v>
      </c>
      <c r="AA1" s="14" t="s">
        <v>262</v>
      </c>
      <c r="AB1" s="25" t="s">
        <v>271</v>
      </c>
      <c r="AC1" s="25"/>
    </row>
    <row r="2" spans="1:29" ht="14.25" customHeight="1" x14ac:dyDescent="0.2">
      <c r="A2" s="14" t="s">
        <v>5</v>
      </c>
      <c r="G2" s="17"/>
      <c r="H2" s="18"/>
      <c r="I2" s="18"/>
      <c r="J2" s="18"/>
      <c r="K2" s="18"/>
      <c r="L2" s="16"/>
    </row>
    <row r="3" spans="1:29" ht="14.25" customHeight="1" x14ac:dyDescent="0.2">
      <c r="C3" s="14" t="s">
        <v>6</v>
      </c>
      <c r="D3" s="16" t="s">
        <v>7</v>
      </c>
      <c r="E3" s="14" t="s">
        <v>8</v>
      </c>
      <c r="F3" s="14" t="s">
        <v>9</v>
      </c>
      <c r="G3" s="17"/>
      <c r="H3" s="18" t="s">
        <v>33</v>
      </c>
      <c r="I3" s="18" t="s">
        <v>161</v>
      </c>
      <c r="J3" s="18" t="s">
        <v>161</v>
      </c>
      <c r="K3" s="18"/>
      <c r="L3" s="16" t="s">
        <v>10</v>
      </c>
      <c r="O3" s="14" t="s">
        <v>161</v>
      </c>
      <c r="R3" s="15" t="s">
        <v>11</v>
      </c>
      <c r="V3" s="14" t="s">
        <v>170</v>
      </c>
      <c r="Y3" s="14">
        <v>1</v>
      </c>
      <c r="Z3" s="14">
        <v>1</v>
      </c>
      <c r="AA3" s="14" t="s">
        <v>288</v>
      </c>
      <c r="AB3" s="14">
        <v>22</v>
      </c>
      <c r="AC3" s="14">
        <v>0</v>
      </c>
    </row>
    <row r="4" spans="1:29" ht="14.25" customHeight="1" x14ac:dyDescent="0.2">
      <c r="C4" s="14" t="s">
        <v>12</v>
      </c>
      <c r="D4" s="16" t="s">
        <v>7</v>
      </c>
      <c r="E4" s="14" t="s">
        <v>8</v>
      </c>
      <c r="F4" s="14" t="s">
        <v>9</v>
      </c>
      <c r="G4" s="17"/>
      <c r="H4" s="18" t="s">
        <v>162</v>
      </c>
      <c r="I4" s="18" t="s">
        <v>161</v>
      </c>
      <c r="J4" s="18" t="s">
        <v>161</v>
      </c>
      <c r="K4" s="18"/>
      <c r="L4" s="16" t="s">
        <v>10</v>
      </c>
      <c r="O4" s="14" t="s">
        <v>161</v>
      </c>
      <c r="R4" s="15" t="s">
        <v>13</v>
      </c>
      <c r="V4" s="14" t="s">
        <v>167</v>
      </c>
      <c r="Y4" s="14">
        <v>1</v>
      </c>
      <c r="Z4" s="14">
        <v>1</v>
      </c>
      <c r="AA4" s="14" t="s">
        <v>289</v>
      </c>
      <c r="AB4" s="14">
        <v>22</v>
      </c>
      <c r="AC4" s="14">
        <v>1</v>
      </c>
    </row>
    <row r="5" spans="1:29" ht="14.25" customHeight="1" x14ac:dyDescent="0.2">
      <c r="C5" s="14" t="s">
        <v>14</v>
      </c>
      <c r="D5" s="16" t="s">
        <v>15</v>
      </c>
      <c r="E5" s="14" t="s">
        <v>16</v>
      </c>
      <c r="G5" s="17"/>
      <c r="H5" s="18" t="s">
        <v>34</v>
      </c>
      <c r="I5" s="18" t="s">
        <v>34</v>
      </c>
      <c r="J5" s="18"/>
      <c r="K5" s="18"/>
      <c r="L5" s="16" t="s">
        <v>10</v>
      </c>
      <c r="O5" s="14" t="s">
        <v>128</v>
      </c>
      <c r="R5" s="15" t="s">
        <v>17</v>
      </c>
      <c r="U5" s="14">
        <v>1</v>
      </c>
      <c r="AA5" s="14" t="s">
        <v>272</v>
      </c>
      <c r="AB5" s="14">
        <v>22</v>
      </c>
      <c r="AC5" s="14">
        <v>2</v>
      </c>
    </row>
    <row r="6" spans="1:29" ht="14.25" customHeight="1" x14ac:dyDescent="0.2">
      <c r="A6" s="14" t="s">
        <v>18</v>
      </c>
      <c r="G6" s="17"/>
      <c r="H6" s="18"/>
      <c r="I6" s="18"/>
      <c r="J6" s="18"/>
      <c r="K6" s="18"/>
      <c r="L6" s="16"/>
    </row>
    <row r="7" spans="1:29" ht="14.25" customHeight="1" x14ac:dyDescent="0.2">
      <c r="C7" s="14" t="s">
        <v>19</v>
      </c>
      <c r="D7" s="16" t="s">
        <v>8</v>
      </c>
      <c r="E7" s="14" t="s">
        <v>20</v>
      </c>
      <c r="G7" s="17"/>
      <c r="H7" s="18" t="s">
        <v>161</v>
      </c>
      <c r="I7" s="18" t="s">
        <v>161</v>
      </c>
      <c r="J7" s="18"/>
      <c r="K7" s="18"/>
      <c r="L7" s="16" t="s">
        <v>10</v>
      </c>
      <c r="O7" s="14" t="s">
        <v>161</v>
      </c>
      <c r="R7" s="15" t="s">
        <v>21</v>
      </c>
      <c r="U7" s="14">
        <v>1</v>
      </c>
      <c r="Y7" s="14">
        <v>1</v>
      </c>
      <c r="Z7" s="14">
        <v>1</v>
      </c>
      <c r="AA7" s="14" t="s">
        <v>290</v>
      </c>
      <c r="AB7" s="14">
        <v>22</v>
      </c>
      <c r="AC7" s="14">
        <v>3</v>
      </c>
    </row>
    <row r="8" spans="1:29" ht="14.25" customHeight="1" x14ac:dyDescent="0.2">
      <c r="C8" s="14" t="s">
        <v>22</v>
      </c>
      <c r="G8" s="17"/>
      <c r="H8" s="18"/>
      <c r="I8" s="18"/>
      <c r="J8" s="18"/>
      <c r="K8" s="18"/>
      <c r="L8" s="16" t="s">
        <v>10</v>
      </c>
      <c r="O8" s="14" t="s">
        <v>161</v>
      </c>
      <c r="R8" s="15" t="s">
        <v>23</v>
      </c>
      <c r="S8" s="14" t="s">
        <v>24</v>
      </c>
      <c r="W8" s="14">
        <v>1</v>
      </c>
      <c r="Y8" s="14">
        <v>1</v>
      </c>
      <c r="Z8" s="14">
        <v>1</v>
      </c>
      <c r="AA8" s="14" t="s">
        <v>291</v>
      </c>
      <c r="AB8" s="14">
        <v>22</v>
      </c>
      <c r="AC8" s="14">
        <v>4</v>
      </c>
    </row>
    <row r="9" spans="1:29" ht="14.25" customHeight="1" x14ac:dyDescent="0.2">
      <c r="C9" s="14" t="s">
        <v>25</v>
      </c>
      <c r="D9" s="16" t="s">
        <v>8</v>
      </c>
      <c r="G9" s="17"/>
      <c r="H9" s="18" t="s">
        <v>161</v>
      </c>
      <c r="I9" s="18"/>
      <c r="J9" s="18"/>
      <c r="K9" s="18"/>
      <c r="L9" s="16"/>
      <c r="R9" s="15" t="s">
        <v>23</v>
      </c>
      <c r="S9" s="14" t="s">
        <v>24</v>
      </c>
      <c r="W9" s="14">
        <v>1</v>
      </c>
      <c r="Y9" s="14">
        <v>1</v>
      </c>
      <c r="Z9" s="14">
        <v>1</v>
      </c>
      <c r="AA9" s="14" t="s">
        <v>292</v>
      </c>
      <c r="AB9" s="14">
        <v>22</v>
      </c>
      <c r="AC9" s="14">
        <v>5</v>
      </c>
    </row>
    <row r="10" spans="1:29" ht="14.25" customHeight="1" x14ac:dyDescent="0.2">
      <c r="A10" s="14" t="s">
        <v>26</v>
      </c>
      <c r="G10" s="17"/>
      <c r="H10" s="18"/>
      <c r="I10" s="18"/>
      <c r="J10" s="18"/>
      <c r="K10" s="18"/>
      <c r="L10" s="16"/>
    </row>
    <row r="11" spans="1:29" ht="14.25" customHeight="1" x14ac:dyDescent="0.2">
      <c r="C11" s="14" t="s">
        <v>27</v>
      </c>
      <c r="D11" s="16" t="s">
        <v>8</v>
      </c>
      <c r="E11" s="14" t="s">
        <v>9</v>
      </c>
      <c r="F11" s="14" t="s">
        <v>158</v>
      </c>
      <c r="G11" s="17" t="s">
        <v>159</v>
      </c>
      <c r="H11" s="18" t="s">
        <v>33</v>
      </c>
      <c r="I11" s="18" t="s">
        <v>33</v>
      </c>
      <c r="J11" s="18" t="s">
        <v>33</v>
      </c>
      <c r="K11" s="18" t="s">
        <v>33</v>
      </c>
      <c r="L11" s="16" t="s">
        <v>10</v>
      </c>
      <c r="O11" s="14" t="s">
        <v>161</v>
      </c>
      <c r="R11" s="15" t="s">
        <v>28</v>
      </c>
      <c r="U11" s="14">
        <v>1</v>
      </c>
      <c r="Y11" s="14">
        <v>2</v>
      </c>
      <c r="Z11" s="14">
        <v>1</v>
      </c>
      <c r="AA11" s="14" t="s">
        <v>293</v>
      </c>
      <c r="AB11" s="14">
        <v>23</v>
      </c>
      <c r="AC11" s="14">
        <v>0</v>
      </c>
    </row>
    <row r="12" spans="1:29" ht="14.25" customHeight="1" x14ac:dyDescent="0.2">
      <c r="A12" s="14" t="s">
        <v>29</v>
      </c>
      <c r="G12" s="17"/>
      <c r="H12" s="18"/>
      <c r="I12" s="18"/>
      <c r="J12" s="18"/>
      <c r="K12" s="18"/>
      <c r="L12" s="16"/>
    </row>
    <row r="13" spans="1:29" ht="14.25" customHeight="1" x14ac:dyDescent="0.2">
      <c r="C13" s="14" t="s">
        <v>30</v>
      </c>
      <c r="D13" s="16" t="s">
        <v>8</v>
      </c>
      <c r="G13" s="17"/>
      <c r="H13" s="18" t="s">
        <v>161</v>
      </c>
      <c r="I13" s="18"/>
      <c r="J13" s="18"/>
      <c r="K13" s="18"/>
      <c r="L13" s="16" t="s">
        <v>10</v>
      </c>
      <c r="O13" s="14" t="s">
        <v>161</v>
      </c>
      <c r="R13" s="15" t="s">
        <v>31</v>
      </c>
      <c r="U13" s="14">
        <v>1</v>
      </c>
      <c r="Y13" s="14">
        <v>1</v>
      </c>
      <c r="Z13" s="14">
        <v>1</v>
      </c>
      <c r="AA13" s="14" t="s">
        <v>294</v>
      </c>
      <c r="AB13" s="14">
        <v>23</v>
      </c>
      <c r="AC13" s="14">
        <v>1</v>
      </c>
    </row>
    <row r="14" spans="1:29" ht="14.25" customHeight="1" x14ac:dyDescent="0.2">
      <c r="A14" s="14" t="s">
        <v>32</v>
      </c>
      <c r="G14" s="17"/>
      <c r="H14" s="18"/>
      <c r="I14" s="18"/>
      <c r="J14" s="18"/>
      <c r="K14" s="18"/>
      <c r="L14" s="16"/>
    </row>
    <row r="15" spans="1:29" ht="14.25" customHeight="1" x14ac:dyDescent="0.2">
      <c r="B15" s="14" t="s">
        <v>33</v>
      </c>
      <c r="G15" s="17"/>
      <c r="H15" s="18"/>
      <c r="I15" s="18"/>
      <c r="J15" s="18"/>
      <c r="K15" s="18"/>
      <c r="L15" s="16"/>
    </row>
    <row r="16" spans="1:29" ht="14.25" customHeight="1" x14ac:dyDescent="0.2">
      <c r="C16" s="14" t="s">
        <v>34</v>
      </c>
      <c r="G16" s="17"/>
      <c r="H16" s="18"/>
      <c r="I16" s="18"/>
      <c r="J16" s="18"/>
      <c r="K16" s="18"/>
      <c r="L16" s="16" t="s">
        <v>10</v>
      </c>
      <c r="O16" s="14" t="s">
        <v>34</v>
      </c>
      <c r="R16" s="15" t="s">
        <v>35</v>
      </c>
      <c r="S16" s="14" t="s">
        <v>36</v>
      </c>
      <c r="U16" s="14">
        <v>1</v>
      </c>
      <c r="Y16" s="14">
        <v>1</v>
      </c>
      <c r="Z16" s="14">
        <v>1</v>
      </c>
      <c r="AA16" s="14" t="s">
        <v>272</v>
      </c>
      <c r="AB16" s="14">
        <v>21</v>
      </c>
      <c r="AC16" s="14">
        <v>0</v>
      </c>
    </row>
    <row r="17" spans="2:29" ht="14.25" customHeight="1" x14ac:dyDescent="0.2">
      <c r="C17" s="14" t="s">
        <v>37</v>
      </c>
      <c r="G17" s="17"/>
      <c r="H17" s="18"/>
      <c r="I17" s="18"/>
      <c r="J17" s="18"/>
      <c r="K17" s="18"/>
      <c r="L17" s="16" t="s">
        <v>10</v>
      </c>
      <c r="O17" s="14" t="s">
        <v>37</v>
      </c>
      <c r="R17" s="15" t="s">
        <v>38</v>
      </c>
      <c r="S17" s="14" t="s">
        <v>39</v>
      </c>
      <c r="U17" s="14">
        <v>1</v>
      </c>
      <c r="Y17" s="14">
        <v>1</v>
      </c>
      <c r="Z17" s="14">
        <v>1</v>
      </c>
      <c r="AA17" s="14" t="s">
        <v>273</v>
      </c>
      <c r="AB17" s="14">
        <v>21</v>
      </c>
      <c r="AC17" s="14">
        <f>AC16+1</f>
        <v>1</v>
      </c>
    </row>
    <row r="18" spans="2:29" ht="14.25" customHeight="1" x14ac:dyDescent="0.2">
      <c r="C18" s="14" t="s">
        <v>40</v>
      </c>
      <c r="G18" s="17"/>
      <c r="H18" s="18"/>
      <c r="I18" s="18"/>
      <c r="J18" s="18"/>
      <c r="K18" s="18"/>
      <c r="L18" s="16" t="s">
        <v>10</v>
      </c>
      <c r="O18" s="14" t="s">
        <v>41</v>
      </c>
      <c r="R18" s="15" t="s">
        <v>160</v>
      </c>
      <c r="S18" s="14" t="s">
        <v>42</v>
      </c>
      <c r="U18" s="14">
        <v>1</v>
      </c>
      <c r="Y18" s="14">
        <v>1</v>
      </c>
      <c r="Z18" s="14">
        <v>1</v>
      </c>
      <c r="AA18" s="14" t="s">
        <v>274</v>
      </c>
      <c r="AB18" s="14">
        <v>21</v>
      </c>
      <c r="AC18" s="14">
        <f>AC17+1</f>
        <v>2</v>
      </c>
    </row>
    <row r="19" spans="2:29" ht="14.25" customHeight="1" x14ac:dyDescent="0.2">
      <c r="B19" s="14" t="s">
        <v>43</v>
      </c>
      <c r="G19" s="17"/>
      <c r="H19" s="18"/>
      <c r="I19" s="18"/>
      <c r="J19" s="18"/>
      <c r="K19" s="18"/>
      <c r="L19" s="16"/>
    </row>
    <row r="20" spans="2:29" ht="14.25" customHeight="1" x14ac:dyDescent="0.2">
      <c r="C20" s="14" t="s">
        <v>44</v>
      </c>
      <c r="G20" s="17"/>
      <c r="H20" s="18"/>
      <c r="I20" s="18"/>
      <c r="J20" s="18"/>
      <c r="K20" s="18"/>
      <c r="L20" s="16" t="s">
        <v>10</v>
      </c>
      <c r="O20" s="14" t="s">
        <v>146</v>
      </c>
      <c r="R20" s="15" t="s">
        <v>45</v>
      </c>
      <c r="U20" s="14">
        <v>1</v>
      </c>
      <c r="Y20" s="14">
        <v>1</v>
      </c>
      <c r="Z20" s="14">
        <v>1</v>
      </c>
      <c r="AA20" s="14" t="s">
        <v>275</v>
      </c>
      <c r="AB20" s="14">
        <v>21</v>
      </c>
      <c r="AC20" s="14">
        <v>3</v>
      </c>
    </row>
    <row r="21" spans="2:29" ht="14.25" customHeight="1" x14ac:dyDescent="0.2">
      <c r="C21" s="14" t="s">
        <v>46</v>
      </c>
      <c r="D21" s="16" t="s">
        <v>8</v>
      </c>
      <c r="G21" s="17"/>
      <c r="H21" s="18" t="s">
        <v>146</v>
      </c>
      <c r="I21" s="18"/>
      <c r="J21" s="18"/>
      <c r="K21" s="18"/>
      <c r="L21" s="16"/>
      <c r="R21" s="15" t="s">
        <v>47</v>
      </c>
      <c r="S21" s="14" t="s">
        <v>48</v>
      </c>
      <c r="U21" s="14">
        <v>1</v>
      </c>
      <c r="Y21" s="14">
        <v>1</v>
      </c>
      <c r="Z21" s="14">
        <v>1</v>
      </c>
      <c r="AA21" s="14" t="s">
        <v>276</v>
      </c>
      <c r="AB21" s="14">
        <v>21</v>
      </c>
      <c r="AC21" s="14">
        <v>4</v>
      </c>
    </row>
    <row r="22" spans="2:29" ht="14.25" customHeight="1" x14ac:dyDescent="0.2">
      <c r="B22" s="14" t="s">
        <v>49</v>
      </c>
      <c r="G22" s="17"/>
      <c r="H22" s="18"/>
      <c r="I22" s="18"/>
      <c r="J22" s="18"/>
      <c r="K22" s="18"/>
      <c r="L22" s="16"/>
    </row>
    <row r="23" spans="2:29" ht="14.25" customHeight="1" x14ac:dyDescent="0.2">
      <c r="C23" s="14" t="s">
        <v>50</v>
      </c>
      <c r="G23" s="17"/>
      <c r="H23" s="18"/>
      <c r="I23" s="18"/>
      <c r="J23" s="18"/>
      <c r="K23" s="18"/>
      <c r="L23" s="16" t="s">
        <v>10</v>
      </c>
      <c r="M23" s="14" t="s">
        <v>16</v>
      </c>
      <c r="O23" s="14" t="s">
        <v>139</v>
      </c>
      <c r="P23" s="14" t="s">
        <v>135</v>
      </c>
      <c r="R23" s="15" t="s">
        <v>51</v>
      </c>
      <c r="S23" s="14" t="s">
        <v>52</v>
      </c>
      <c r="U23" s="14">
        <v>1</v>
      </c>
      <c r="Y23" s="14">
        <v>1</v>
      </c>
      <c r="Z23" s="14">
        <v>1</v>
      </c>
      <c r="AA23" s="14" t="s">
        <v>277</v>
      </c>
      <c r="AB23" s="14">
        <v>21</v>
      </c>
      <c r="AC23" s="14">
        <v>5</v>
      </c>
    </row>
    <row r="24" spans="2:29" ht="14.25" customHeight="1" x14ac:dyDescent="0.2">
      <c r="C24" s="14" t="s">
        <v>53</v>
      </c>
      <c r="D24" s="16" t="s">
        <v>54</v>
      </c>
      <c r="E24" s="14" t="s">
        <v>55</v>
      </c>
      <c r="G24" s="17"/>
      <c r="H24" s="18" t="s">
        <v>37</v>
      </c>
      <c r="I24" s="18" t="s">
        <v>37</v>
      </c>
      <c r="J24" s="18"/>
      <c r="K24" s="18"/>
      <c r="L24" s="16" t="s">
        <v>56</v>
      </c>
      <c r="M24" s="14" t="s">
        <v>57</v>
      </c>
      <c r="O24" s="14" t="s">
        <v>139</v>
      </c>
      <c r="P24" s="14" t="s">
        <v>139</v>
      </c>
      <c r="R24" s="15" t="s">
        <v>58</v>
      </c>
      <c r="U24" s="14">
        <v>1</v>
      </c>
      <c r="Y24" s="14">
        <v>2</v>
      </c>
      <c r="Z24" s="14">
        <v>1</v>
      </c>
      <c r="AA24" s="14" t="s">
        <v>278</v>
      </c>
      <c r="AB24" s="14">
        <v>21</v>
      </c>
      <c r="AC24" s="14">
        <v>6</v>
      </c>
    </row>
    <row r="25" spans="2:29" ht="14.25" customHeight="1" x14ac:dyDescent="0.2">
      <c r="C25" s="14" t="s">
        <v>59</v>
      </c>
      <c r="G25" s="17"/>
      <c r="H25" s="18"/>
      <c r="I25" s="18"/>
      <c r="J25" s="18"/>
      <c r="K25" s="18"/>
      <c r="L25" s="16" t="s">
        <v>10</v>
      </c>
      <c r="M25" s="14" t="s">
        <v>60</v>
      </c>
      <c r="O25" s="14" t="s">
        <v>139</v>
      </c>
      <c r="P25" s="14" t="s">
        <v>146</v>
      </c>
      <c r="R25" s="15" t="s">
        <v>61</v>
      </c>
      <c r="S25" s="14" t="s">
        <v>62</v>
      </c>
      <c r="U25" s="14">
        <v>1</v>
      </c>
    </row>
    <row r="26" spans="2:29" ht="14.25" customHeight="1" x14ac:dyDescent="0.2">
      <c r="C26" s="14" t="s">
        <v>63</v>
      </c>
      <c r="D26" s="16" t="s">
        <v>64</v>
      </c>
      <c r="E26" s="14" t="s">
        <v>65</v>
      </c>
      <c r="G26" s="17"/>
      <c r="H26" s="18" t="s">
        <v>136</v>
      </c>
      <c r="I26" s="18" t="s">
        <v>146</v>
      </c>
      <c r="J26" s="18"/>
      <c r="K26" s="18"/>
      <c r="L26" s="16"/>
      <c r="R26" s="15" t="s">
        <v>154</v>
      </c>
      <c r="S26" s="14" t="s">
        <v>66</v>
      </c>
      <c r="U26" s="14">
        <v>1</v>
      </c>
    </row>
    <row r="27" spans="2:29" ht="14.25" customHeight="1" x14ac:dyDescent="0.2">
      <c r="C27" s="14" t="s">
        <v>67</v>
      </c>
      <c r="D27" s="16" t="s">
        <v>8</v>
      </c>
      <c r="G27" s="17"/>
      <c r="H27" s="18" t="s">
        <v>146</v>
      </c>
      <c r="I27" s="18"/>
      <c r="J27" s="18"/>
      <c r="K27" s="18"/>
      <c r="L27" s="16"/>
      <c r="R27" s="15" t="s">
        <v>68</v>
      </c>
      <c r="S27" s="14" t="s">
        <v>67</v>
      </c>
      <c r="U27" s="14">
        <v>1</v>
      </c>
      <c r="Y27" s="14">
        <v>1</v>
      </c>
      <c r="Z27" s="14">
        <v>1</v>
      </c>
      <c r="AA27" s="14" t="s">
        <v>279</v>
      </c>
      <c r="AB27" s="14">
        <v>21</v>
      </c>
      <c r="AC27" s="14">
        <v>7</v>
      </c>
    </row>
    <row r="28" spans="2:29" ht="14.25" customHeight="1" x14ac:dyDescent="0.2">
      <c r="C28" s="14" t="s">
        <v>155</v>
      </c>
      <c r="G28" s="17"/>
      <c r="H28" s="18"/>
      <c r="I28" s="18"/>
      <c r="J28" s="18"/>
      <c r="K28" s="18"/>
      <c r="L28" s="16" t="s">
        <v>10</v>
      </c>
      <c r="O28" s="14" t="s">
        <v>139</v>
      </c>
      <c r="R28" s="15" t="s">
        <v>69</v>
      </c>
      <c r="S28" s="14" t="s">
        <v>70</v>
      </c>
      <c r="U28" s="14">
        <v>1</v>
      </c>
    </row>
    <row r="29" spans="2:29" ht="14.25" customHeight="1" x14ac:dyDescent="0.2">
      <c r="C29" s="14" t="s">
        <v>71</v>
      </c>
      <c r="D29" s="16" t="s">
        <v>8</v>
      </c>
      <c r="G29" s="17"/>
      <c r="H29" s="18" t="s">
        <v>136</v>
      </c>
      <c r="I29" s="18"/>
      <c r="J29" s="18"/>
      <c r="K29" s="18"/>
      <c r="L29" s="16"/>
      <c r="R29" s="15" t="s">
        <v>72</v>
      </c>
      <c r="S29" s="14" t="s">
        <v>73</v>
      </c>
      <c r="U29" s="14">
        <v>1</v>
      </c>
      <c r="Y29" s="14">
        <v>1</v>
      </c>
      <c r="Z29" s="14">
        <v>1</v>
      </c>
      <c r="AA29" s="14" t="s">
        <v>280</v>
      </c>
      <c r="AB29" s="14">
        <v>21</v>
      </c>
      <c r="AC29" s="14">
        <v>8</v>
      </c>
    </row>
    <row r="30" spans="2:29" ht="14.25" customHeight="1" x14ac:dyDescent="0.2">
      <c r="C30" s="14" t="s">
        <v>74</v>
      </c>
      <c r="G30" s="17"/>
      <c r="H30" s="18"/>
      <c r="I30" s="18"/>
      <c r="J30" s="18"/>
      <c r="K30" s="18"/>
      <c r="L30" s="16" t="s">
        <v>10</v>
      </c>
      <c r="O30" s="14" t="s">
        <v>74</v>
      </c>
      <c r="R30" s="15" t="s">
        <v>169</v>
      </c>
      <c r="S30" s="14" t="s">
        <v>75</v>
      </c>
      <c r="U30" s="14">
        <v>1</v>
      </c>
      <c r="Y30" s="14">
        <v>1</v>
      </c>
      <c r="Z30" s="14">
        <v>1</v>
      </c>
      <c r="AA30" s="14" t="s">
        <v>281</v>
      </c>
      <c r="AB30" s="14">
        <v>21</v>
      </c>
      <c r="AC30" s="14">
        <v>9</v>
      </c>
    </row>
    <row r="31" spans="2:29" ht="14.25" customHeight="1" x14ac:dyDescent="0.2">
      <c r="B31" s="14" t="s">
        <v>76</v>
      </c>
      <c r="G31" s="17"/>
      <c r="H31" s="18"/>
      <c r="I31" s="18"/>
      <c r="J31" s="18"/>
      <c r="K31" s="18"/>
      <c r="L31" s="16"/>
    </row>
    <row r="32" spans="2:29" ht="14.25" customHeight="1" x14ac:dyDescent="0.2">
      <c r="C32" s="14" t="s">
        <v>77</v>
      </c>
      <c r="G32" s="17"/>
      <c r="H32" s="18"/>
      <c r="I32" s="18"/>
      <c r="J32" s="18"/>
      <c r="K32" s="18"/>
      <c r="L32" s="16" t="s">
        <v>10</v>
      </c>
      <c r="O32" s="14" t="s">
        <v>137</v>
      </c>
      <c r="R32" s="15" t="s">
        <v>78</v>
      </c>
      <c r="S32" s="14" t="s">
        <v>79</v>
      </c>
      <c r="U32" s="14">
        <v>1</v>
      </c>
      <c r="Y32" s="14">
        <v>1</v>
      </c>
      <c r="Z32" s="14">
        <v>1</v>
      </c>
      <c r="AA32" s="14" t="s">
        <v>282</v>
      </c>
      <c r="AB32" s="14">
        <v>21</v>
      </c>
      <c r="AC32" s="14">
        <v>10</v>
      </c>
    </row>
    <row r="33" spans="1:29" ht="14.25" customHeight="1" x14ac:dyDescent="0.2">
      <c r="C33" s="14" t="s">
        <v>80</v>
      </c>
      <c r="G33" s="17"/>
      <c r="H33" s="18"/>
      <c r="I33" s="18"/>
      <c r="J33" s="18"/>
      <c r="K33" s="18"/>
      <c r="L33" s="16" t="s">
        <v>10</v>
      </c>
      <c r="O33" s="14" t="s">
        <v>145</v>
      </c>
      <c r="R33" s="15" t="s">
        <v>81</v>
      </c>
      <c r="U33" s="14">
        <v>1</v>
      </c>
      <c r="Y33" s="14">
        <v>1</v>
      </c>
      <c r="Z33" s="14">
        <v>1</v>
      </c>
      <c r="AA33" s="14" t="s">
        <v>284</v>
      </c>
      <c r="AB33" s="14">
        <v>21</v>
      </c>
      <c r="AC33" s="14">
        <v>11</v>
      </c>
    </row>
    <row r="34" spans="1:29" ht="14.25" customHeight="1" x14ac:dyDescent="0.2">
      <c r="C34" s="14" t="s">
        <v>82</v>
      </c>
      <c r="G34" s="17"/>
      <c r="H34" s="18"/>
      <c r="I34" s="18"/>
      <c r="J34" s="18"/>
      <c r="K34" s="18"/>
      <c r="L34" s="16" t="s">
        <v>10</v>
      </c>
      <c r="O34" s="14" t="s">
        <v>145</v>
      </c>
      <c r="R34" s="15" t="s">
        <v>83</v>
      </c>
      <c r="U34" s="14">
        <v>1</v>
      </c>
      <c r="Y34" s="14">
        <v>1</v>
      </c>
      <c r="Z34" s="14">
        <v>1</v>
      </c>
      <c r="AA34" s="14" t="s">
        <v>285</v>
      </c>
      <c r="AB34" s="14">
        <v>21</v>
      </c>
      <c r="AC34" s="14">
        <v>12</v>
      </c>
    </row>
    <row r="35" spans="1:29" ht="14.25" customHeight="1" x14ac:dyDescent="0.2">
      <c r="C35" s="14" t="s">
        <v>84</v>
      </c>
      <c r="D35" s="16" t="s">
        <v>8</v>
      </c>
      <c r="E35" s="14" t="s">
        <v>85</v>
      </c>
      <c r="G35" s="17"/>
      <c r="H35" s="18" t="s">
        <v>145</v>
      </c>
      <c r="I35" s="18" t="s">
        <v>163</v>
      </c>
      <c r="J35" s="18"/>
      <c r="K35" s="18"/>
      <c r="L35" s="16"/>
      <c r="R35" s="15" t="s">
        <v>86</v>
      </c>
      <c r="U35" s="14">
        <v>1</v>
      </c>
      <c r="Y35" s="14">
        <v>1</v>
      </c>
      <c r="Z35" s="14">
        <v>1</v>
      </c>
      <c r="AA35" s="14" t="s">
        <v>283</v>
      </c>
      <c r="AB35" s="14">
        <v>21</v>
      </c>
      <c r="AC35" s="14">
        <v>13</v>
      </c>
    </row>
    <row r="36" spans="1:29" ht="14.25" customHeight="1" x14ac:dyDescent="0.2">
      <c r="C36" s="14" t="s">
        <v>87</v>
      </c>
      <c r="D36" s="16" t="s">
        <v>8</v>
      </c>
      <c r="E36" s="14" t="s">
        <v>85</v>
      </c>
      <c r="G36" s="17"/>
      <c r="H36" s="18" t="s">
        <v>145</v>
      </c>
      <c r="I36" s="18" t="s">
        <v>163</v>
      </c>
      <c r="J36" s="18"/>
      <c r="K36" s="18"/>
      <c r="L36" s="16"/>
      <c r="R36" s="15" t="s">
        <v>88</v>
      </c>
      <c r="U36" s="14">
        <v>1</v>
      </c>
      <c r="Y36" s="14">
        <v>1</v>
      </c>
      <c r="Z36" s="14">
        <v>1</v>
      </c>
      <c r="AA36" s="14" t="s">
        <v>286</v>
      </c>
      <c r="AB36" s="14">
        <v>21</v>
      </c>
      <c r="AC36" s="14">
        <v>14</v>
      </c>
    </row>
    <row r="37" spans="1:29" ht="14.25" customHeight="1" x14ac:dyDescent="0.2">
      <c r="A37" s="14" t="s">
        <v>217</v>
      </c>
      <c r="B37" s="14" t="s">
        <v>218</v>
      </c>
      <c r="G37" s="17"/>
      <c r="H37" s="18"/>
      <c r="I37" s="18"/>
      <c r="J37" s="18"/>
      <c r="K37" s="18"/>
      <c r="L37" s="16"/>
    </row>
    <row r="38" spans="1:29" ht="14.25" customHeight="1" x14ac:dyDescent="0.2">
      <c r="B38" s="14" t="s">
        <v>218</v>
      </c>
      <c r="G38" s="17"/>
      <c r="H38" s="18"/>
      <c r="I38" s="18"/>
      <c r="J38" s="18"/>
      <c r="K38" s="18"/>
      <c r="L38" s="16"/>
    </row>
    <row r="39" spans="1:29" ht="14.25" customHeight="1" x14ac:dyDescent="0.2">
      <c r="C39" s="14" t="s">
        <v>219</v>
      </c>
      <c r="D39" s="16" t="s">
        <v>8</v>
      </c>
      <c r="G39" s="17"/>
      <c r="H39" s="18" t="s">
        <v>220</v>
      </c>
      <c r="I39" s="18"/>
      <c r="J39" s="18"/>
      <c r="K39" s="18"/>
      <c r="L39" s="16" t="s">
        <v>10</v>
      </c>
      <c r="O39" s="14" t="s">
        <v>220</v>
      </c>
      <c r="R39" s="15" t="s">
        <v>221</v>
      </c>
      <c r="S39" s="14" t="s">
        <v>222</v>
      </c>
      <c r="V39" s="14" t="s">
        <v>223</v>
      </c>
      <c r="W39" s="14">
        <v>1</v>
      </c>
      <c r="X39" s="14">
        <v>1</v>
      </c>
      <c r="Y39" s="14">
        <v>1</v>
      </c>
      <c r="Z39" s="14">
        <v>1</v>
      </c>
      <c r="AA39" s="14" t="s">
        <v>263</v>
      </c>
      <c r="AB39" s="14">
        <v>20</v>
      </c>
      <c r="AC39" s="14">
        <v>0</v>
      </c>
    </row>
    <row r="40" spans="1:29" ht="14.25" customHeight="1" x14ac:dyDescent="0.2">
      <c r="C40" s="14" t="s">
        <v>229</v>
      </c>
      <c r="D40" s="16" t="s">
        <v>8</v>
      </c>
      <c r="G40" s="17"/>
      <c r="H40" s="18" t="s">
        <v>220</v>
      </c>
      <c r="I40" s="18"/>
      <c r="J40" s="18"/>
      <c r="K40" s="18"/>
      <c r="L40" s="16" t="s">
        <v>10</v>
      </c>
      <c r="O40" s="14" t="s">
        <v>220</v>
      </c>
      <c r="R40" s="15" t="s">
        <v>221</v>
      </c>
      <c r="S40" s="14" t="s">
        <v>222</v>
      </c>
      <c r="W40" s="14">
        <v>1</v>
      </c>
      <c r="X40" s="14">
        <v>1</v>
      </c>
      <c r="Y40" s="14">
        <v>1</v>
      </c>
      <c r="Z40" s="14">
        <v>1</v>
      </c>
      <c r="AA40" s="14" t="s">
        <v>264</v>
      </c>
      <c r="AB40" s="14">
        <v>20</v>
      </c>
      <c r="AC40" s="14">
        <v>1</v>
      </c>
    </row>
    <row r="41" spans="1:29" ht="14.25" customHeight="1" x14ac:dyDescent="0.2">
      <c r="C41" s="14" t="s">
        <v>230</v>
      </c>
      <c r="D41" s="16" t="s">
        <v>8</v>
      </c>
      <c r="G41" s="17"/>
      <c r="H41" s="18" t="s">
        <v>220</v>
      </c>
      <c r="I41" s="18"/>
      <c r="J41" s="18"/>
      <c r="K41" s="18"/>
      <c r="L41" s="16" t="s">
        <v>10</v>
      </c>
      <c r="O41" s="14" t="s">
        <v>220</v>
      </c>
      <c r="R41" s="15" t="s">
        <v>221</v>
      </c>
      <c r="S41" s="14" t="s">
        <v>222</v>
      </c>
      <c r="W41" s="14">
        <v>1</v>
      </c>
      <c r="X41" s="14">
        <v>1</v>
      </c>
      <c r="Y41" s="14">
        <v>1</v>
      </c>
      <c r="Z41" s="14">
        <v>1</v>
      </c>
      <c r="AA41" s="14" t="s">
        <v>265</v>
      </c>
      <c r="AB41" s="14">
        <v>20</v>
      </c>
      <c r="AC41" s="14">
        <f>AC40+1</f>
        <v>2</v>
      </c>
    </row>
    <row r="42" spans="1:29" ht="14.25" customHeight="1" x14ac:dyDescent="0.2">
      <c r="C42" s="14" t="s">
        <v>231</v>
      </c>
      <c r="D42" s="16" t="s">
        <v>8</v>
      </c>
      <c r="E42" s="14" t="s">
        <v>9</v>
      </c>
      <c r="G42" s="17"/>
      <c r="H42" s="18" t="s">
        <v>220</v>
      </c>
      <c r="I42" s="18" t="s">
        <v>220</v>
      </c>
      <c r="J42" s="18"/>
      <c r="K42" s="18"/>
      <c r="L42" s="16" t="s">
        <v>232</v>
      </c>
      <c r="M42" s="14" t="s">
        <v>233</v>
      </c>
      <c r="O42" s="14" t="s">
        <v>220</v>
      </c>
      <c r="P42" s="14" t="s">
        <v>220</v>
      </c>
      <c r="R42" s="15" t="s">
        <v>221</v>
      </c>
      <c r="S42" s="14" t="s">
        <v>222</v>
      </c>
      <c r="W42" s="14">
        <v>1</v>
      </c>
      <c r="X42" s="14">
        <v>1</v>
      </c>
      <c r="Y42" s="14">
        <v>1</v>
      </c>
      <c r="Z42" s="14">
        <v>1</v>
      </c>
      <c r="AA42" s="14" t="s">
        <v>266</v>
      </c>
      <c r="AB42" s="14">
        <v>20</v>
      </c>
      <c r="AC42" s="14">
        <f t="shared" ref="AC42:AC45" si="0">AC41+1</f>
        <v>3</v>
      </c>
    </row>
    <row r="43" spans="1:29" ht="14.25" customHeight="1" x14ac:dyDescent="0.2">
      <c r="C43" s="14" t="s">
        <v>234</v>
      </c>
      <c r="D43" s="16" t="s">
        <v>8</v>
      </c>
      <c r="G43" s="17"/>
      <c r="H43" s="18" t="s">
        <v>220</v>
      </c>
      <c r="I43" s="18"/>
      <c r="J43" s="18"/>
      <c r="K43" s="18"/>
      <c r="L43" s="16" t="s">
        <v>10</v>
      </c>
      <c r="O43" s="14" t="s">
        <v>220</v>
      </c>
      <c r="R43" s="15" t="s">
        <v>221</v>
      </c>
      <c r="S43" s="14" t="s">
        <v>222</v>
      </c>
      <c r="W43" s="14">
        <v>1</v>
      </c>
      <c r="X43" s="14">
        <v>1</v>
      </c>
      <c r="Y43" s="14">
        <v>1</v>
      </c>
      <c r="Z43" s="14">
        <v>1</v>
      </c>
      <c r="AA43" s="14" t="s">
        <v>267</v>
      </c>
      <c r="AB43" s="14">
        <v>20</v>
      </c>
      <c r="AC43" s="14">
        <f t="shared" si="0"/>
        <v>4</v>
      </c>
    </row>
    <row r="44" spans="1:29" ht="14.25" customHeight="1" x14ac:dyDescent="0.2">
      <c r="C44" s="14" t="s">
        <v>235</v>
      </c>
      <c r="D44" s="16" t="s">
        <v>8</v>
      </c>
      <c r="G44" s="17"/>
      <c r="H44" s="18" t="s">
        <v>220</v>
      </c>
      <c r="I44" s="18"/>
      <c r="J44" s="18"/>
      <c r="K44" s="18"/>
      <c r="L44" s="16" t="s">
        <v>10</v>
      </c>
      <c r="O44" s="14" t="s">
        <v>220</v>
      </c>
      <c r="R44" s="15" t="s">
        <v>221</v>
      </c>
      <c r="S44" s="14" t="s">
        <v>222</v>
      </c>
      <c r="W44" s="14">
        <v>1</v>
      </c>
      <c r="X44" s="14">
        <v>1</v>
      </c>
      <c r="Y44" s="14">
        <v>1</v>
      </c>
      <c r="Z44" s="14">
        <v>1</v>
      </c>
      <c r="AA44" s="14" t="s">
        <v>268</v>
      </c>
      <c r="AB44" s="14">
        <v>20</v>
      </c>
      <c r="AC44" s="14">
        <f t="shared" si="0"/>
        <v>5</v>
      </c>
    </row>
    <row r="45" spans="1:29" ht="14.25" customHeight="1" x14ac:dyDescent="0.2">
      <c r="C45" s="14" t="s">
        <v>236</v>
      </c>
      <c r="D45" s="16" t="s">
        <v>8</v>
      </c>
      <c r="G45" s="17"/>
      <c r="H45" s="18" t="s">
        <v>220</v>
      </c>
      <c r="I45" s="18"/>
      <c r="J45" s="18"/>
      <c r="K45" s="18"/>
      <c r="L45" s="16" t="s">
        <v>232</v>
      </c>
      <c r="M45" s="14" t="s">
        <v>233</v>
      </c>
      <c r="N45" s="17" t="s">
        <v>237</v>
      </c>
      <c r="O45" s="14" t="s">
        <v>220</v>
      </c>
      <c r="P45" s="14" t="s">
        <v>220</v>
      </c>
      <c r="Q45" s="14" t="s">
        <v>220</v>
      </c>
      <c r="R45" s="15" t="s">
        <v>221</v>
      </c>
      <c r="S45" s="14" t="s">
        <v>222</v>
      </c>
      <c r="W45" s="14">
        <v>1</v>
      </c>
      <c r="X45" s="14">
        <v>1</v>
      </c>
      <c r="Y45" s="14">
        <v>1</v>
      </c>
      <c r="Z45" s="14">
        <v>1</v>
      </c>
      <c r="AA45" s="14" t="s">
        <v>269</v>
      </c>
      <c r="AB45" s="14">
        <v>20</v>
      </c>
      <c r="AC45" s="14">
        <f t="shared" si="0"/>
        <v>6</v>
      </c>
    </row>
    <row r="46" spans="1:29" ht="14.25" customHeight="1" x14ac:dyDescent="0.2">
      <c r="C46" s="14" t="s">
        <v>270</v>
      </c>
      <c r="D46" s="16" t="s">
        <v>8</v>
      </c>
      <c r="G46" s="17"/>
      <c r="H46" s="18" t="s">
        <v>220</v>
      </c>
      <c r="I46" s="18"/>
      <c r="J46" s="18"/>
      <c r="K46" s="18"/>
      <c r="L46" s="16" t="s">
        <v>232</v>
      </c>
      <c r="O46" s="14" t="s">
        <v>220</v>
      </c>
      <c r="R46" s="15" t="s">
        <v>221</v>
      </c>
      <c r="S46" s="14" t="s">
        <v>222</v>
      </c>
      <c r="Y46" s="14">
        <v>1</v>
      </c>
      <c r="Z46" s="14">
        <v>1</v>
      </c>
      <c r="AA46" s="14" t="s">
        <v>287</v>
      </c>
      <c r="AB46" s="14">
        <v>20</v>
      </c>
      <c r="AC46" s="14">
        <v>7</v>
      </c>
    </row>
    <row r="47" spans="1:29" ht="14.25" customHeight="1" x14ac:dyDescent="0.2">
      <c r="A47" s="14" t="s">
        <v>89</v>
      </c>
      <c r="G47" s="17"/>
      <c r="H47" s="18"/>
      <c r="I47" s="18"/>
      <c r="J47" s="18"/>
      <c r="K47" s="18"/>
      <c r="L47" s="16"/>
    </row>
    <row r="48" spans="1:29" ht="14.25" customHeight="1" x14ac:dyDescent="0.2">
      <c r="B48" s="14" t="s">
        <v>90</v>
      </c>
      <c r="G48" s="17"/>
      <c r="H48" s="18"/>
      <c r="I48" s="18"/>
      <c r="J48" s="18"/>
      <c r="K48" s="18"/>
      <c r="L48" s="16"/>
    </row>
    <row r="49" spans="2:22" ht="14.25" customHeight="1" x14ac:dyDescent="0.2">
      <c r="C49" s="14" t="s">
        <v>91</v>
      </c>
      <c r="G49" s="17"/>
      <c r="H49" s="18"/>
      <c r="I49" s="18"/>
      <c r="J49" s="18"/>
      <c r="K49" s="18"/>
      <c r="L49" s="16" t="s">
        <v>10</v>
      </c>
      <c r="O49" s="14" t="s">
        <v>137</v>
      </c>
      <c r="R49" s="15" t="s">
        <v>92</v>
      </c>
      <c r="V49" s="14" t="s">
        <v>171</v>
      </c>
    </row>
    <row r="50" spans="2:22" ht="14.25" customHeight="1" x14ac:dyDescent="0.2">
      <c r="C50" s="14" t="s">
        <v>93</v>
      </c>
      <c r="G50" s="17"/>
      <c r="H50" s="18"/>
      <c r="I50" s="18"/>
      <c r="J50" s="18"/>
      <c r="K50" s="18"/>
      <c r="L50" s="16" t="s">
        <v>10</v>
      </c>
      <c r="O50" s="14" t="s">
        <v>137</v>
      </c>
      <c r="R50" s="15" t="s">
        <v>94</v>
      </c>
      <c r="V50" s="14" t="s">
        <v>172</v>
      </c>
    </row>
    <row r="51" spans="2:22" ht="14.25" customHeight="1" x14ac:dyDescent="0.2">
      <c r="C51" s="14" t="s">
        <v>95</v>
      </c>
      <c r="D51" s="16" t="s">
        <v>8</v>
      </c>
      <c r="E51" s="14" t="s">
        <v>96</v>
      </c>
      <c r="G51" s="17"/>
      <c r="H51" s="18" t="s">
        <v>136</v>
      </c>
      <c r="I51" s="18" t="s">
        <v>37</v>
      </c>
      <c r="J51" s="18"/>
      <c r="K51" s="18"/>
      <c r="L51" s="16" t="s">
        <v>10</v>
      </c>
      <c r="O51" s="14" t="s">
        <v>137</v>
      </c>
      <c r="R51" s="15" t="s">
        <v>97</v>
      </c>
      <c r="V51" s="14" t="s">
        <v>173</v>
      </c>
    </row>
    <row r="52" spans="2:22" ht="14.25" customHeight="1" x14ac:dyDescent="0.2">
      <c r="C52" s="14" t="s">
        <v>98</v>
      </c>
      <c r="D52" s="16" t="s">
        <v>8</v>
      </c>
      <c r="G52" s="17"/>
      <c r="H52" s="18" t="s">
        <v>136</v>
      </c>
      <c r="I52" s="18"/>
      <c r="J52" s="18"/>
      <c r="K52" s="18"/>
      <c r="L52" s="16" t="s">
        <v>10</v>
      </c>
      <c r="O52" s="14" t="s">
        <v>98</v>
      </c>
      <c r="R52" s="15" t="s">
        <v>99</v>
      </c>
      <c r="V52" s="14" t="s">
        <v>174</v>
      </c>
    </row>
    <row r="53" spans="2:22" ht="14.25" customHeight="1" x14ac:dyDescent="0.2">
      <c r="C53" s="14" t="s">
        <v>100</v>
      </c>
      <c r="D53" s="16" t="s">
        <v>8</v>
      </c>
      <c r="G53" s="17"/>
      <c r="H53" s="18" t="s">
        <v>136</v>
      </c>
      <c r="I53" s="18"/>
      <c r="J53" s="18"/>
      <c r="K53" s="18"/>
      <c r="L53" s="16" t="s">
        <v>10</v>
      </c>
      <c r="O53" s="14" t="s">
        <v>100</v>
      </c>
      <c r="R53" s="15" t="s">
        <v>101</v>
      </c>
    </row>
    <row r="54" spans="2:22" ht="14.25" customHeight="1" x14ac:dyDescent="0.2">
      <c r="C54" s="14" t="s">
        <v>102</v>
      </c>
      <c r="D54" s="16" t="s">
        <v>8</v>
      </c>
      <c r="G54" s="17"/>
      <c r="H54" s="18" t="s">
        <v>100</v>
      </c>
      <c r="I54" s="18"/>
      <c r="J54" s="18"/>
      <c r="K54" s="18"/>
      <c r="L54" s="16" t="s">
        <v>10</v>
      </c>
      <c r="O54" s="14" t="s">
        <v>136</v>
      </c>
      <c r="R54" s="15" t="s">
        <v>103</v>
      </c>
    </row>
    <row r="55" spans="2:22" ht="14.25" customHeight="1" x14ac:dyDescent="0.2">
      <c r="C55" s="14" t="s">
        <v>104</v>
      </c>
      <c r="D55" s="16" t="s">
        <v>105</v>
      </c>
      <c r="E55" s="14" t="s">
        <v>106</v>
      </c>
      <c r="F55" s="14" t="s">
        <v>9</v>
      </c>
      <c r="G55" s="17" t="s">
        <v>107</v>
      </c>
      <c r="H55" s="18" t="s">
        <v>98</v>
      </c>
      <c r="I55" s="18" t="s">
        <v>98</v>
      </c>
      <c r="J55" s="18" t="s">
        <v>98</v>
      </c>
      <c r="K55" s="18" t="s">
        <v>98</v>
      </c>
      <c r="L55" s="16" t="s">
        <v>10</v>
      </c>
      <c r="O55" s="14" t="s">
        <v>136</v>
      </c>
      <c r="R55" s="15" t="s">
        <v>108</v>
      </c>
    </row>
    <row r="56" spans="2:22" ht="14.25" customHeight="1" x14ac:dyDescent="0.2">
      <c r="C56" s="14" t="s">
        <v>109</v>
      </c>
      <c r="D56" s="16" t="s">
        <v>8</v>
      </c>
      <c r="G56" s="17"/>
      <c r="H56" s="18" t="s">
        <v>139</v>
      </c>
      <c r="I56" s="18"/>
      <c r="J56" s="18"/>
      <c r="K56" s="18"/>
      <c r="L56" s="16" t="s">
        <v>105</v>
      </c>
      <c r="M56" s="14" t="s">
        <v>106</v>
      </c>
      <c r="N56" s="17" t="s">
        <v>9</v>
      </c>
      <c r="O56" s="14" t="s">
        <v>98</v>
      </c>
      <c r="P56" s="14" t="s">
        <v>98</v>
      </c>
      <c r="Q56" s="14" t="s">
        <v>98</v>
      </c>
      <c r="R56" s="15" t="s">
        <v>110</v>
      </c>
    </row>
    <row r="57" spans="2:22" ht="14.25" customHeight="1" x14ac:dyDescent="0.2">
      <c r="C57" s="14" t="s">
        <v>111</v>
      </c>
      <c r="D57" s="16" t="s">
        <v>8</v>
      </c>
      <c r="E57" s="14" t="s">
        <v>112</v>
      </c>
      <c r="G57" s="17"/>
      <c r="H57" s="18" t="s">
        <v>136</v>
      </c>
      <c r="I57" s="18" t="s">
        <v>137</v>
      </c>
      <c r="J57" s="18"/>
      <c r="K57" s="18"/>
      <c r="L57" s="16" t="s">
        <v>10</v>
      </c>
      <c r="O57" s="14" t="s">
        <v>136</v>
      </c>
      <c r="R57" s="15" t="s">
        <v>113</v>
      </c>
      <c r="S57" s="14" t="s">
        <v>114</v>
      </c>
    </row>
    <row r="58" spans="2:22" ht="14.25" customHeight="1" x14ac:dyDescent="0.2">
      <c r="C58" s="14" t="s">
        <v>115</v>
      </c>
      <c r="D58" s="16" t="s">
        <v>8</v>
      </c>
      <c r="E58" s="14" t="s">
        <v>116</v>
      </c>
      <c r="F58" s="14" t="s">
        <v>117</v>
      </c>
      <c r="G58" s="17"/>
      <c r="H58" s="18" t="s">
        <v>136</v>
      </c>
      <c r="I58" s="18" t="s">
        <v>37</v>
      </c>
      <c r="J58" s="18" t="s">
        <v>128</v>
      </c>
      <c r="K58" s="18"/>
      <c r="L58" s="16" t="s">
        <v>10</v>
      </c>
      <c r="O58" s="14" t="s">
        <v>136</v>
      </c>
      <c r="R58" s="15" t="s">
        <v>118</v>
      </c>
    </row>
    <row r="59" spans="2:22" ht="14.25" customHeight="1" x14ac:dyDescent="0.2">
      <c r="C59" s="14" t="s">
        <v>119</v>
      </c>
      <c r="D59" s="16" t="s">
        <v>8</v>
      </c>
      <c r="E59" s="14" t="s">
        <v>9</v>
      </c>
      <c r="F59" s="14" t="s">
        <v>85</v>
      </c>
      <c r="G59" s="17"/>
      <c r="H59" s="18" t="s">
        <v>136</v>
      </c>
      <c r="I59" s="18" t="s">
        <v>136</v>
      </c>
      <c r="J59" s="18" t="s">
        <v>98</v>
      </c>
      <c r="K59" s="18"/>
      <c r="L59" s="16" t="s">
        <v>10</v>
      </c>
      <c r="O59" s="14" t="s">
        <v>136</v>
      </c>
      <c r="R59" s="15" t="s">
        <v>120</v>
      </c>
    </row>
    <row r="60" spans="2:22" ht="14.25" customHeight="1" x14ac:dyDescent="0.2">
      <c r="C60" s="14" t="s">
        <v>121</v>
      </c>
      <c r="D60" s="16" t="s">
        <v>8</v>
      </c>
      <c r="E60" s="14" t="s">
        <v>122</v>
      </c>
      <c r="G60" s="17"/>
      <c r="H60" s="18" t="s">
        <v>136</v>
      </c>
      <c r="I60" s="18" t="s">
        <v>74</v>
      </c>
      <c r="J60" s="18"/>
      <c r="K60" s="18"/>
      <c r="L60" s="16" t="s">
        <v>10</v>
      </c>
      <c r="O60" s="14" t="s">
        <v>136</v>
      </c>
    </row>
    <row r="61" spans="2:22" ht="14.25" customHeight="1" x14ac:dyDescent="0.2">
      <c r="B61" s="14" t="s">
        <v>123</v>
      </c>
      <c r="G61" s="17"/>
      <c r="H61" s="18"/>
      <c r="I61" s="18"/>
      <c r="J61" s="18"/>
      <c r="K61" s="18"/>
      <c r="L61" s="16"/>
    </row>
    <row r="62" spans="2:22" ht="14.25" customHeight="1" x14ac:dyDescent="0.2">
      <c r="C62" s="14" t="s">
        <v>124</v>
      </c>
      <c r="D62" s="16" t="s">
        <v>8</v>
      </c>
      <c r="G62" s="17"/>
      <c r="H62" s="18" t="s">
        <v>136</v>
      </c>
      <c r="I62" s="18"/>
      <c r="J62" s="18"/>
      <c r="K62" s="18"/>
      <c r="L62" s="16" t="s">
        <v>10</v>
      </c>
      <c r="O62" s="14" t="s">
        <v>140</v>
      </c>
      <c r="R62" s="15" t="s">
        <v>125</v>
      </c>
    </row>
    <row r="63" spans="2:22" s="19" customFormat="1" ht="21.75" customHeight="1" x14ac:dyDescent="0.2">
      <c r="C63" s="19" t="s">
        <v>152</v>
      </c>
      <c r="D63" s="20" t="s">
        <v>8</v>
      </c>
      <c r="G63" s="21"/>
      <c r="H63" s="19" t="s">
        <v>140</v>
      </c>
      <c r="L63" s="20" t="s">
        <v>10</v>
      </c>
      <c r="N63" s="21"/>
      <c r="O63" s="19" t="s">
        <v>98</v>
      </c>
      <c r="R63" s="22" t="s">
        <v>153</v>
      </c>
    </row>
    <row r="64" spans="2:22" ht="21.75" customHeight="1" x14ac:dyDescent="0.2">
      <c r="G64" s="17"/>
      <c r="H64" s="18"/>
      <c r="I64" s="18"/>
      <c r="J64" s="18"/>
      <c r="K64" s="18"/>
      <c r="L64" s="16"/>
    </row>
    <row r="65" spans="7:12" ht="21.75" customHeight="1" x14ac:dyDescent="0.2">
      <c r="G65" s="17"/>
      <c r="H65" s="18"/>
      <c r="I65" s="18"/>
      <c r="J65" s="18"/>
      <c r="K65" s="18"/>
      <c r="L65" s="16"/>
    </row>
    <row r="66" spans="7:12" ht="21.75" customHeight="1" x14ac:dyDescent="0.2">
      <c r="G66" s="17"/>
      <c r="H66" s="18"/>
      <c r="I66" s="18"/>
      <c r="J66" s="18"/>
      <c r="K66" s="18"/>
      <c r="L66" s="16"/>
    </row>
    <row r="67" spans="7:12" ht="21.75" customHeight="1" x14ac:dyDescent="0.2">
      <c r="G67" s="17"/>
      <c r="H67" s="18"/>
      <c r="I67" s="18"/>
      <c r="J67" s="18"/>
      <c r="K67" s="18"/>
      <c r="L67" s="16"/>
    </row>
    <row r="68" spans="7:12" ht="21.75" customHeight="1" x14ac:dyDescent="0.2">
      <c r="G68" s="17"/>
      <c r="H68" s="18"/>
      <c r="I68" s="18"/>
      <c r="J68" s="18"/>
      <c r="K68" s="18"/>
      <c r="L68" s="16"/>
    </row>
    <row r="69" spans="7:12" ht="21.75" customHeight="1" x14ac:dyDescent="0.2">
      <c r="G69" s="17"/>
      <c r="H69" s="18"/>
      <c r="I69" s="18"/>
      <c r="J69" s="18"/>
      <c r="K69" s="18"/>
      <c r="L69" s="16"/>
    </row>
    <row r="70" spans="7:12" ht="21.75" customHeight="1" x14ac:dyDescent="0.2">
      <c r="G70" s="17"/>
      <c r="H70" s="18"/>
      <c r="I70" s="18"/>
      <c r="J70" s="18"/>
      <c r="K70" s="18"/>
      <c r="L70" s="16"/>
    </row>
    <row r="71" spans="7:12" ht="21.75" customHeight="1" x14ac:dyDescent="0.2">
      <c r="G71" s="17"/>
      <c r="H71" s="18"/>
      <c r="I71" s="18"/>
      <c r="J71" s="18"/>
      <c r="K71" s="18"/>
      <c r="L71" s="16"/>
    </row>
    <row r="72" spans="7:12" ht="21.75" customHeight="1" x14ac:dyDescent="0.2">
      <c r="G72" s="17"/>
      <c r="H72" s="18"/>
      <c r="I72" s="18"/>
      <c r="J72" s="18"/>
      <c r="K72" s="18"/>
      <c r="L72" s="16"/>
    </row>
    <row r="73" spans="7:12" ht="21.75" customHeight="1" x14ac:dyDescent="0.2">
      <c r="G73" s="17"/>
      <c r="H73" s="18"/>
      <c r="I73" s="18"/>
      <c r="J73" s="18"/>
      <c r="K73" s="18"/>
      <c r="L73" s="16"/>
    </row>
    <row r="74" spans="7:12" ht="21.75" customHeight="1" x14ac:dyDescent="0.2">
      <c r="G74" s="17"/>
      <c r="H74" s="18"/>
      <c r="I74" s="18"/>
      <c r="J74" s="18"/>
      <c r="K74" s="18"/>
      <c r="L74" s="16"/>
    </row>
    <row r="75" spans="7:12" ht="21.75" customHeight="1" x14ac:dyDescent="0.2">
      <c r="G75" s="17"/>
      <c r="H75" s="18"/>
      <c r="I75" s="18"/>
      <c r="J75" s="18"/>
      <c r="K75" s="18"/>
      <c r="L75" s="16"/>
    </row>
    <row r="76" spans="7:12" ht="21.75" customHeight="1" x14ac:dyDescent="0.2">
      <c r="G76" s="17"/>
      <c r="H76" s="18"/>
      <c r="I76" s="18"/>
      <c r="J76" s="18"/>
      <c r="K76" s="18"/>
      <c r="L76" s="16"/>
    </row>
    <row r="77" spans="7:12" ht="21.75" customHeight="1" x14ac:dyDescent="0.2">
      <c r="G77" s="17"/>
      <c r="H77" s="18"/>
      <c r="I77" s="18"/>
      <c r="J77" s="18"/>
      <c r="K77" s="18"/>
      <c r="L77" s="16"/>
    </row>
    <row r="78" spans="7:12" ht="21.75" customHeight="1" x14ac:dyDescent="0.2">
      <c r="G78" s="17"/>
      <c r="H78" s="18"/>
      <c r="I78" s="18"/>
      <c r="J78" s="18"/>
      <c r="K78" s="18"/>
      <c r="L78" s="16"/>
    </row>
    <row r="79" spans="7:12" ht="21.75" customHeight="1" x14ac:dyDescent="0.2">
      <c r="G79" s="17"/>
      <c r="H79" s="18"/>
      <c r="I79" s="18"/>
      <c r="J79" s="18"/>
      <c r="K79" s="18"/>
      <c r="L79" s="16"/>
    </row>
    <row r="80" spans="7:12" ht="21.75" customHeight="1" x14ac:dyDescent="0.2">
      <c r="G80" s="17"/>
      <c r="H80" s="18"/>
      <c r="I80" s="18"/>
      <c r="J80" s="18"/>
      <c r="K80" s="18"/>
      <c r="L80" s="16"/>
    </row>
    <row r="81" spans="7:12" ht="21.75" customHeight="1" x14ac:dyDescent="0.2">
      <c r="G81" s="17"/>
      <c r="H81" s="18"/>
      <c r="I81" s="18"/>
      <c r="J81" s="18"/>
      <c r="K81" s="18"/>
      <c r="L81" s="16"/>
    </row>
    <row r="82" spans="7:12" ht="21.75" customHeight="1" x14ac:dyDescent="0.2">
      <c r="G82" s="17"/>
      <c r="H82" s="18"/>
      <c r="I82" s="18"/>
      <c r="J82" s="18"/>
      <c r="K82" s="18"/>
      <c r="L82" s="16"/>
    </row>
    <row r="83" spans="7:12" ht="21.75" customHeight="1" x14ac:dyDescent="0.2">
      <c r="G83" s="17"/>
      <c r="H83" s="18"/>
      <c r="I83" s="18"/>
      <c r="J83" s="18"/>
      <c r="K83" s="18"/>
      <c r="L83" s="16"/>
    </row>
    <row r="84" spans="7:12" ht="21.75" customHeight="1" x14ac:dyDescent="0.2">
      <c r="G84" s="17"/>
      <c r="H84" s="18"/>
      <c r="I84" s="18"/>
      <c r="J84" s="18"/>
      <c r="K84" s="18"/>
      <c r="L84" s="16"/>
    </row>
    <row r="85" spans="7:12" ht="21.75" customHeight="1" x14ac:dyDescent="0.2">
      <c r="G85" s="17"/>
      <c r="H85" s="18"/>
      <c r="I85" s="18"/>
      <c r="J85" s="18"/>
      <c r="K85" s="18"/>
      <c r="L85" s="16"/>
    </row>
    <row r="86" spans="7:12" ht="21.75" customHeight="1" x14ac:dyDescent="0.2">
      <c r="G86" s="17"/>
      <c r="H86" s="18"/>
      <c r="I86" s="18"/>
      <c r="J86" s="18"/>
      <c r="K86" s="18"/>
      <c r="L86" s="16"/>
    </row>
    <row r="87" spans="7:12" ht="21.75" customHeight="1" x14ac:dyDescent="0.2">
      <c r="G87" s="17"/>
      <c r="H87" s="18"/>
      <c r="I87" s="18"/>
      <c r="J87" s="18"/>
      <c r="K87" s="18"/>
      <c r="L87" s="16"/>
    </row>
    <row r="88" spans="7:12" ht="21.75" customHeight="1" x14ac:dyDescent="0.2">
      <c r="G88" s="17"/>
      <c r="H88" s="18"/>
      <c r="I88" s="18"/>
      <c r="J88" s="18"/>
      <c r="K88" s="18"/>
      <c r="L88" s="16"/>
    </row>
    <row r="89" spans="7:12" ht="21.75" customHeight="1" x14ac:dyDescent="0.2">
      <c r="G89" s="17"/>
      <c r="H89" s="18"/>
      <c r="I89" s="18"/>
      <c r="J89" s="18"/>
      <c r="K89" s="18"/>
      <c r="L89" s="16"/>
    </row>
    <row r="90" spans="7:12" ht="21.75" customHeight="1" x14ac:dyDescent="0.2">
      <c r="G90" s="17"/>
      <c r="H90" s="18"/>
      <c r="I90" s="18"/>
      <c r="J90" s="18"/>
      <c r="K90" s="18"/>
      <c r="L90" s="16"/>
    </row>
    <row r="91" spans="7:12" ht="21.75" customHeight="1" x14ac:dyDescent="0.2">
      <c r="G91" s="17"/>
      <c r="H91" s="18"/>
      <c r="I91" s="18"/>
      <c r="J91" s="18"/>
      <c r="K91" s="18"/>
      <c r="L91" s="16"/>
    </row>
    <row r="92" spans="7:12" ht="21.75" customHeight="1" x14ac:dyDescent="0.2">
      <c r="G92" s="17"/>
      <c r="H92" s="18"/>
      <c r="I92" s="18"/>
      <c r="J92" s="18"/>
      <c r="K92" s="18"/>
      <c r="L92" s="16"/>
    </row>
    <row r="93" spans="7:12" ht="21.75" customHeight="1" x14ac:dyDescent="0.2">
      <c r="G93" s="17"/>
      <c r="H93" s="18"/>
      <c r="I93" s="18"/>
      <c r="J93" s="18"/>
      <c r="K93" s="18"/>
      <c r="L93" s="16"/>
    </row>
    <row r="94" spans="7:12" ht="21.75" customHeight="1" x14ac:dyDescent="0.2">
      <c r="G94" s="17"/>
      <c r="H94" s="18"/>
      <c r="I94" s="18"/>
      <c r="J94" s="18"/>
      <c r="K94" s="18"/>
      <c r="L94" s="16"/>
    </row>
    <row r="95" spans="7:12" ht="21.75" customHeight="1" x14ac:dyDescent="0.2">
      <c r="G95" s="17"/>
      <c r="H95" s="18"/>
      <c r="I95" s="18"/>
      <c r="J95" s="18"/>
      <c r="K95" s="18"/>
      <c r="L95" s="16"/>
    </row>
    <row r="96" spans="7:12" ht="21.75" customHeight="1" x14ac:dyDescent="0.2">
      <c r="G96" s="17"/>
      <c r="H96" s="18"/>
      <c r="I96" s="18"/>
      <c r="J96" s="18"/>
      <c r="K96" s="18"/>
      <c r="L96" s="16"/>
    </row>
    <row r="97" spans="7:12" ht="21.75" customHeight="1" x14ac:dyDescent="0.2">
      <c r="G97" s="17"/>
      <c r="H97" s="18"/>
      <c r="I97" s="18"/>
      <c r="J97" s="18"/>
      <c r="K97" s="18"/>
      <c r="L97" s="16"/>
    </row>
    <row r="98" spans="7:12" ht="21.75" customHeight="1" x14ac:dyDescent="0.2">
      <c r="G98" s="17"/>
      <c r="H98" s="18"/>
      <c r="I98" s="18"/>
      <c r="J98" s="18"/>
      <c r="K98" s="18"/>
      <c r="L98" s="16"/>
    </row>
    <row r="99" spans="7:12" ht="21.75" customHeight="1" x14ac:dyDescent="0.2">
      <c r="G99" s="17"/>
      <c r="H99" s="18"/>
      <c r="I99" s="18"/>
      <c r="J99" s="18"/>
      <c r="K99" s="18"/>
      <c r="L99" s="16"/>
    </row>
    <row r="100" spans="7:12" ht="21.75" customHeight="1" x14ac:dyDescent="0.2">
      <c r="G100" s="17"/>
      <c r="H100" s="18"/>
      <c r="I100" s="18"/>
      <c r="J100" s="18"/>
      <c r="K100" s="18"/>
      <c r="L100" s="16"/>
    </row>
    <row r="101" spans="7:12" ht="21.75" customHeight="1" x14ac:dyDescent="0.2">
      <c r="G101" s="17"/>
      <c r="H101" s="18"/>
      <c r="I101" s="18"/>
      <c r="J101" s="18"/>
      <c r="K101" s="18"/>
      <c r="L101" s="16"/>
    </row>
    <row r="102" spans="7:12" ht="21.75" customHeight="1" x14ac:dyDescent="0.2">
      <c r="G102" s="17"/>
      <c r="H102" s="18"/>
      <c r="I102" s="18"/>
      <c r="J102" s="18"/>
      <c r="K102" s="18"/>
      <c r="L102" s="16"/>
    </row>
    <row r="103" spans="7:12" ht="21.75" customHeight="1" x14ac:dyDescent="0.2">
      <c r="G103" s="17"/>
      <c r="H103" s="18"/>
      <c r="I103" s="18"/>
      <c r="J103" s="18"/>
      <c r="K103" s="18"/>
      <c r="L103" s="16"/>
    </row>
    <row r="104" spans="7:12" ht="21.75" customHeight="1" x14ac:dyDescent="0.2">
      <c r="G104" s="17"/>
      <c r="H104" s="18"/>
      <c r="I104" s="18"/>
      <c r="J104" s="18"/>
      <c r="K104" s="18"/>
      <c r="L104" s="16"/>
    </row>
    <row r="105" spans="7:12" ht="21.75" customHeight="1" x14ac:dyDescent="0.2">
      <c r="G105" s="17"/>
      <c r="H105" s="18"/>
      <c r="I105" s="18"/>
      <c r="J105" s="18"/>
      <c r="K105" s="18"/>
      <c r="L105" s="16"/>
    </row>
    <row r="106" spans="7:12" ht="21.75" customHeight="1" x14ac:dyDescent="0.2">
      <c r="G106" s="17"/>
      <c r="H106" s="18"/>
      <c r="I106" s="18"/>
      <c r="J106" s="18"/>
      <c r="K106" s="18"/>
      <c r="L106" s="16"/>
    </row>
    <row r="107" spans="7:12" ht="21.75" customHeight="1" x14ac:dyDescent="0.2">
      <c r="G107" s="17"/>
      <c r="H107" s="18"/>
      <c r="I107" s="18"/>
      <c r="J107" s="18"/>
      <c r="K107" s="18"/>
      <c r="L107" s="16"/>
    </row>
    <row r="108" spans="7:12" ht="21.75" customHeight="1" x14ac:dyDescent="0.2">
      <c r="G108" s="17"/>
      <c r="H108" s="18"/>
      <c r="I108" s="18"/>
      <c r="J108" s="18"/>
      <c r="K108" s="18"/>
      <c r="L108" s="16"/>
    </row>
    <row r="109" spans="7:12" ht="21.75" customHeight="1" x14ac:dyDescent="0.2">
      <c r="G109" s="17"/>
      <c r="H109" s="18"/>
      <c r="I109" s="18"/>
      <c r="J109" s="18"/>
      <c r="K109" s="18"/>
      <c r="L109" s="16"/>
    </row>
    <row r="110" spans="7:12" x14ac:dyDescent="0.2">
      <c r="G110" s="17"/>
      <c r="H110" s="18"/>
      <c r="I110" s="18"/>
      <c r="J110" s="18"/>
      <c r="K110" s="18"/>
      <c r="L110" s="16"/>
    </row>
    <row r="111" spans="7:12" x14ac:dyDescent="0.2">
      <c r="G111" s="17"/>
      <c r="H111" s="18"/>
      <c r="I111" s="18"/>
      <c r="J111" s="18"/>
      <c r="K111" s="18"/>
      <c r="L111" s="16"/>
    </row>
    <row r="112" spans="7:12" x14ac:dyDescent="0.2">
      <c r="G112" s="17"/>
      <c r="H112" s="18"/>
      <c r="I112" s="18"/>
      <c r="J112" s="18"/>
      <c r="K112" s="18"/>
      <c r="L112" s="16"/>
    </row>
    <row r="113" spans="7:12" x14ac:dyDescent="0.2">
      <c r="G113" s="17"/>
      <c r="H113" s="18"/>
      <c r="I113" s="18"/>
      <c r="J113" s="18"/>
      <c r="K113" s="18"/>
      <c r="L113" s="16"/>
    </row>
    <row r="114" spans="7:12" x14ac:dyDescent="0.2">
      <c r="G114" s="17"/>
      <c r="H114" s="18"/>
      <c r="I114" s="18"/>
      <c r="J114" s="18"/>
      <c r="K114" s="18"/>
      <c r="L114" s="16"/>
    </row>
    <row r="115" spans="7:12" x14ac:dyDescent="0.2">
      <c r="G115" s="17"/>
      <c r="H115" s="18"/>
      <c r="I115" s="18"/>
      <c r="J115" s="18"/>
      <c r="K115" s="18"/>
      <c r="L115" s="16"/>
    </row>
    <row r="116" spans="7:12" x14ac:dyDescent="0.2">
      <c r="G116" s="17"/>
      <c r="H116" s="18"/>
      <c r="I116" s="18"/>
      <c r="J116" s="18"/>
      <c r="K116" s="18"/>
      <c r="L116" s="16"/>
    </row>
    <row r="117" spans="7:12" x14ac:dyDescent="0.2">
      <c r="G117" s="17"/>
      <c r="H117" s="18"/>
      <c r="I117" s="18"/>
      <c r="J117" s="18"/>
      <c r="K117" s="18"/>
      <c r="L117" s="16"/>
    </row>
  </sheetData>
  <mergeCells count="5">
    <mergeCell ref="D1:G1"/>
    <mergeCell ref="H1:K1"/>
    <mergeCell ref="L1:N1"/>
    <mergeCell ref="O1:Q1"/>
    <mergeCell ref="AB1:A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BlockTypes</vt:lpstr>
      <vt:lpstr>BaseTypes</vt:lpstr>
      <vt:lpstr>UI</vt:lpstr>
      <vt:lpstr>BlockTypesHuman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2013-12-20T20:25:59Z</dcterms:modified>
</cp:coreProperties>
</file>