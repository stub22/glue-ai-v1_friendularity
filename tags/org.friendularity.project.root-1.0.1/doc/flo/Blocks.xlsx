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2135" windowHeight="7350" tabRatio="842"/>
  </bookViews>
  <sheets>
    <sheet name="BlockTypes" sheetId="1" r:id="rId1"/>
    <sheet name="BaseTypes" sheetId="2" r:id="rId2"/>
    <sheet name="UI" sheetId="3" r:id="rId3"/>
    <sheet name="BlockTypesHuman" sheetId="4" r:id="rId4"/>
  </sheets>
  <calcPr calcId="145621"/>
</workbook>
</file>

<file path=xl/calcChain.xml><?xml version="1.0" encoding="utf-8"?>
<calcChain xmlns="http://schemas.openxmlformats.org/spreadsheetml/2006/main">
  <c r="AM67" i="1" l="1"/>
  <c r="AI64" i="1"/>
  <c r="AP64" i="1" s="1"/>
  <c r="AJ64" i="1"/>
  <c r="AK64" i="1"/>
  <c r="AL64" i="1"/>
  <c r="AM64" i="1"/>
  <c r="AQ64" i="1" s="1"/>
  <c r="AN64" i="1"/>
  <c r="AO64" i="1"/>
  <c r="AI65" i="1"/>
  <c r="AP65" i="1" s="1"/>
  <c r="AJ65" i="1"/>
  <c r="AK65" i="1"/>
  <c r="AL65" i="1"/>
  <c r="AM65" i="1"/>
  <c r="AQ65" i="1" s="1"/>
  <c r="AN65" i="1"/>
  <c r="AO65" i="1"/>
  <c r="AI66" i="1"/>
  <c r="AJ66" i="1"/>
  <c r="AK66" i="1"/>
  <c r="AL66" i="1"/>
  <c r="AM66" i="1"/>
  <c r="AN66" i="1"/>
  <c r="AO66" i="1"/>
  <c r="AQ66" i="1" l="1"/>
  <c r="AP66" i="1"/>
  <c r="AC41" i="4"/>
  <c r="AC42" i="4" s="1"/>
  <c r="AC43" i="4" s="1"/>
  <c r="AC44" i="4" s="1"/>
  <c r="AC45" i="4" s="1"/>
  <c r="AC17" i="4"/>
  <c r="AC18" i="4" s="1"/>
  <c r="BE4" i="1"/>
  <c r="BE5" i="1"/>
  <c r="BE6" i="1"/>
  <c r="BE7" i="1"/>
  <c r="BE10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3" i="1"/>
  <c r="AH5" i="1"/>
  <c r="AH6" i="1"/>
  <c r="AH7" i="1"/>
  <c r="AH33" i="1" l="1"/>
  <c r="AH34" i="1"/>
  <c r="AH35" i="1"/>
  <c r="AH36" i="1"/>
  <c r="AH37" i="1"/>
  <c r="AH38" i="1"/>
  <c r="AH39" i="1"/>
  <c r="AH14" i="1"/>
  <c r="AH15" i="1"/>
  <c r="AH16" i="1"/>
  <c r="AH17" i="1"/>
  <c r="BD18" i="1"/>
  <c r="BD17" i="1"/>
  <c r="AH4" i="1" l="1"/>
  <c r="AH10" i="1"/>
  <c r="AH12" i="1"/>
  <c r="AH13" i="1"/>
  <c r="AH18" i="1"/>
  <c r="AH19" i="1"/>
  <c r="AH20" i="1"/>
  <c r="AH21" i="1"/>
  <c r="AH22" i="1"/>
  <c r="AH23" i="1"/>
  <c r="AH26" i="1"/>
  <c r="AH27" i="1"/>
  <c r="AH28" i="1"/>
  <c r="AH29" i="1"/>
  <c r="AH30" i="1"/>
  <c r="AH31" i="1"/>
  <c r="AH32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BE64" i="1" s="1"/>
  <c r="AH67" i="1"/>
  <c r="BE67" i="1" s="1"/>
  <c r="AH68" i="1"/>
  <c r="BE68" i="1" s="1"/>
  <c r="AH69" i="1"/>
  <c r="BE69" i="1" s="1"/>
  <c r="AH70" i="1"/>
  <c r="BE70" i="1" s="1"/>
  <c r="AH71" i="1"/>
  <c r="BE71" i="1" s="1"/>
  <c r="AH72" i="1"/>
  <c r="BE72" i="1" s="1"/>
  <c r="AH73" i="1"/>
  <c r="BE73" i="1" s="1"/>
  <c r="AH74" i="1"/>
  <c r="BE74" i="1" s="1"/>
  <c r="AH75" i="1"/>
  <c r="BE75" i="1" s="1"/>
  <c r="AH76" i="1"/>
  <c r="BE76" i="1" s="1"/>
  <c r="AH77" i="1"/>
  <c r="BE77" i="1" s="1"/>
  <c r="AH78" i="1"/>
  <c r="BE78" i="1" s="1"/>
  <c r="AH79" i="1"/>
  <c r="BE79" i="1" s="1"/>
  <c r="AH80" i="1"/>
  <c r="BE80" i="1" s="1"/>
  <c r="AH81" i="1"/>
  <c r="BE81" i="1" s="1"/>
  <c r="AH82" i="1"/>
  <c r="BE82" i="1" s="1"/>
  <c r="AH83" i="1"/>
  <c r="BE83" i="1" s="1"/>
  <c r="AH84" i="1"/>
  <c r="BE84" i="1" s="1"/>
  <c r="AH85" i="1"/>
  <c r="BE85" i="1" s="1"/>
  <c r="AH86" i="1"/>
  <c r="BE86" i="1" s="1"/>
  <c r="AH87" i="1"/>
  <c r="BE87" i="1" s="1"/>
  <c r="AH88" i="1"/>
  <c r="BE88" i="1" s="1"/>
  <c r="AH89" i="1"/>
  <c r="BE89" i="1" s="1"/>
  <c r="AH90" i="1"/>
  <c r="BE90" i="1" s="1"/>
  <c r="AH91" i="1"/>
  <c r="BE91" i="1" s="1"/>
  <c r="AH92" i="1"/>
  <c r="BE92" i="1" s="1"/>
  <c r="AH93" i="1"/>
  <c r="BE93" i="1" s="1"/>
  <c r="AH94" i="1"/>
  <c r="BE94" i="1" s="1"/>
  <c r="AH95" i="1"/>
  <c r="BE95" i="1" s="1"/>
  <c r="AH96" i="1"/>
  <c r="BE96" i="1" s="1"/>
  <c r="AH97" i="1"/>
  <c r="BE97" i="1" s="1"/>
  <c r="AH98" i="1"/>
  <c r="BE98" i="1" s="1"/>
  <c r="AH99" i="1"/>
  <c r="BE99" i="1" s="1"/>
  <c r="AH100" i="1"/>
  <c r="BE100" i="1" s="1"/>
  <c r="AH101" i="1"/>
  <c r="BE101" i="1" s="1"/>
  <c r="AH102" i="1"/>
  <c r="BE102" i="1" s="1"/>
  <c r="AH103" i="1"/>
  <c r="BE103" i="1" s="1"/>
  <c r="AH104" i="1"/>
  <c r="BE104" i="1" s="1"/>
  <c r="AH105" i="1"/>
  <c r="BE105" i="1" s="1"/>
  <c r="AH106" i="1"/>
  <c r="BE106" i="1" s="1"/>
  <c r="AH107" i="1"/>
  <c r="BE107" i="1" s="1"/>
  <c r="AH108" i="1"/>
  <c r="BE108" i="1" s="1"/>
  <c r="AH109" i="1"/>
  <c r="BE109" i="1" s="1"/>
  <c r="AH3" i="1"/>
  <c r="BD42" i="1" l="1"/>
  <c r="BD43" i="1"/>
  <c r="BD44" i="1"/>
  <c r="BD45" i="1" s="1"/>
  <c r="BD41" i="1"/>
  <c r="C47" i="1" l="1"/>
  <c r="D47" i="1"/>
  <c r="AN37" i="1"/>
  <c r="AQ37" i="1" s="1"/>
  <c r="AO37" i="1"/>
  <c r="AP37" i="1"/>
  <c r="AN38" i="1"/>
  <c r="AQ38" i="1" s="1"/>
  <c r="AO38" i="1"/>
  <c r="AP38" i="1"/>
  <c r="AN39" i="1"/>
  <c r="AQ39" i="1" s="1"/>
  <c r="AO39" i="1"/>
  <c r="AP39" i="1"/>
  <c r="AN40" i="1"/>
  <c r="AO40" i="1"/>
  <c r="AN41" i="1"/>
  <c r="AO41" i="1"/>
  <c r="AN42" i="1"/>
  <c r="AO42" i="1"/>
  <c r="AN43" i="1"/>
  <c r="AO43" i="1"/>
  <c r="AN44" i="1"/>
  <c r="AO44" i="1"/>
  <c r="AN45" i="1"/>
  <c r="AO45" i="1"/>
  <c r="AN46" i="1"/>
  <c r="AO46" i="1"/>
  <c r="AI37" i="1"/>
  <c r="AJ37" i="1"/>
  <c r="AK37" i="1"/>
  <c r="AL37" i="1"/>
  <c r="AM37" i="1"/>
  <c r="AI38" i="1"/>
  <c r="AJ38" i="1"/>
  <c r="AK38" i="1"/>
  <c r="AL38" i="1"/>
  <c r="AM38" i="1"/>
  <c r="AI39" i="1"/>
  <c r="AJ39" i="1"/>
  <c r="AK39" i="1"/>
  <c r="AL39" i="1"/>
  <c r="AM39" i="1"/>
  <c r="AI40" i="1"/>
  <c r="AP40" i="1" s="1"/>
  <c r="AJ40" i="1"/>
  <c r="AK40" i="1"/>
  <c r="AL40" i="1"/>
  <c r="AM40" i="1"/>
  <c r="AI41" i="1"/>
  <c r="AP41" i="1" s="1"/>
  <c r="AJ41" i="1"/>
  <c r="AK41" i="1"/>
  <c r="AL41" i="1"/>
  <c r="AM41" i="1"/>
  <c r="AI42" i="1"/>
  <c r="AJ42" i="1"/>
  <c r="AK42" i="1"/>
  <c r="AL42" i="1"/>
  <c r="AM42" i="1"/>
  <c r="AI43" i="1"/>
  <c r="AP43" i="1" s="1"/>
  <c r="AJ43" i="1"/>
  <c r="AK43" i="1"/>
  <c r="AL43" i="1"/>
  <c r="AM43" i="1"/>
  <c r="AI44" i="1"/>
  <c r="AP44" i="1" s="1"/>
  <c r="AJ44" i="1"/>
  <c r="AK44" i="1"/>
  <c r="AL44" i="1"/>
  <c r="AM44" i="1"/>
  <c r="AI45" i="1"/>
  <c r="AP45" i="1" s="1"/>
  <c r="AJ45" i="1"/>
  <c r="AK45" i="1"/>
  <c r="AL45" i="1"/>
  <c r="AM45" i="1"/>
  <c r="AI46" i="1"/>
  <c r="AP46" i="1" s="1"/>
  <c r="AJ46" i="1"/>
  <c r="AK46" i="1"/>
  <c r="AL46" i="1"/>
  <c r="AM46" i="1"/>
  <c r="AG37" i="1"/>
  <c r="AG38" i="1" s="1"/>
  <c r="Z37" i="1"/>
  <c r="AA37" i="1"/>
  <c r="AB37" i="1"/>
  <c r="AC37" i="1"/>
  <c r="AD37" i="1"/>
  <c r="AE37" i="1"/>
  <c r="Z38" i="1"/>
  <c r="AA38" i="1"/>
  <c r="AB38" i="1"/>
  <c r="AD38" i="1" s="1"/>
  <c r="AC38" i="1"/>
  <c r="AE38" i="1"/>
  <c r="Z39" i="1"/>
  <c r="AA39" i="1"/>
  <c r="AB39" i="1"/>
  <c r="AD39" i="1" s="1"/>
  <c r="AC39" i="1"/>
  <c r="AA40" i="1"/>
  <c r="AD40" i="1" s="1"/>
  <c r="AB40" i="1"/>
  <c r="AC40" i="1"/>
  <c r="AE40" i="1"/>
  <c r="AA41" i="1"/>
  <c r="AD41" i="1" s="1"/>
  <c r="AB41" i="1"/>
  <c r="AC41" i="1"/>
  <c r="AE41" i="1"/>
  <c r="AA42" i="1"/>
  <c r="AB42" i="1"/>
  <c r="AC42" i="1"/>
  <c r="AE42" i="1"/>
  <c r="AA43" i="1"/>
  <c r="AB43" i="1"/>
  <c r="AC43" i="1"/>
  <c r="AA44" i="1"/>
  <c r="AD44" i="1" s="1"/>
  <c r="AB44" i="1"/>
  <c r="AC44" i="1"/>
  <c r="AE44" i="1"/>
  <c r="AA45" i="1"/>
  <c r="AB45" i="1"/>
  <c r="AC45" i="1"/>
  <c r="AE45" i="1"/>
  <c r="AA46" i="1"/>
  <c r="AB46" i="1"/>
  <c r="AC46" i="1"/>
  <c r="V37" i="1"/>
  <c r="W37" i="1"/>
  <c r="X37" i="1"/>
  <c r="Y37" i="1"/>
  <c r="V38" i="1"/>
  <c r="W38" i="1"/>
  <c r="X38" i="1"/>
  <c r="Y38" i="1"/>
  <c r="V39" i="1"/>
  <c r="W39" i="1"/>
  <c r="X39" i="1"/>
  <c r="Y39" i="1"/>
  <c r="V40" i="1"/>
  <c r="Z40" i="1" s="1"/>
  <c r="W40" i="1"/>
  <c r="X40" i="1"/>
  <c r="Y40" i="1"/>
  <c r="V41" i="1"/>
  <c r="Z41" i="1" s="1"/>
  <c r="W41" i="1"/>
  <c r="X41" i="1"/>
  <c r="Y41" i="1"/>
  <c r="V42" i="1"/>
  <c r="W42" i="1"/>
  <c r="X42" i="1"/>
  <c r="Y42" i="1"/>
  <c r="V43" i="1"/>
  <c r="Z43" i="1" s="1"/>
  <c r="W43" i="1"/>
  <c r="X43" i="1"/>
  <c r="Y43" i="1"/>
  <c r="V44" i="1"/>
  <c r="Z44" i="1" s="1"/>
  <c r="W44" i="1"/>
  <c r="X44" i="1"/>
  <c r="Y44" i="1"/>
  <c r="V45" i="1"/>
  <c r="Z45" i="1" s="1"/>
  <c r="W45" i="1"/>
  <c r="X45" i="1"/>
  <c r="Y45" i="1"/>
  <c r="V46" i="1"/>
  <c r="Z46" i="1" s="1"/>
  <c r="W46" i="1"/>
  <c r="X46" i="1"/>
  <c r="Y46" i="1"/>
  <c r="C37" i="1"/>
  <c r="C38" i="1" s="1"/>
  <c r="C39" i="1" s="1"/>
  <c r="C40" i="1" s="1"/>
  <c r="C41" i="1" s="1"/>
  <c r="C42" i="1" s="1"/>
  <c r="C43" i="1" s="1"/>
  <c r="C44" i="1" s="1"/>
  <c r="C45" i="1" s="1"/>
  <c r="C46" i="1" s="1"/>
  <c r="D37" i="1"/>
  <c r="D38" i="1"/>
  <c r="D39" i="1" s="1"/>
  <c r="D40" i="1" s="1"/>
  <c r="D41" i="1" s="1"/>
  <c r="D42" i="1" s="1"/>
  <c r="D43" i="1" s="1"/>
  <c r="D44" i="1" s="1"/>
  <c r="D45" i="1" s="1"/>
  <c r="D46" i="1" s="1"/>
  <c r="AQ46" i="1" l="1"/>
  <c r="AD46" i="1"/>
  <c r="AQ45" i="1"/>
  <c r="AD45" i="1"/>
  <c r="AQ44" i="1"/>
  <c r="AQ43" i="1"/>
  <c r="AD43" i="1"/>
  <c r="AQ42" i="1"/>
  <c r="AD42" i="1"/>
  <c r="AP42" i="1"/>
  <c r="Z42" i="1"/>
  <c r="AQ41" i="1"/>
  <c r="AQ40" i="1"/>
  <c r="AG39" i="1"/>
  <c r="AF38" i="1"/>
  <c r="AF37" i="1"/>
  <c r="AM4" i="1"/>
  <c r="AN4" i="1"/>
  <c r="AO4" i="1"/>
  <c r="AM5" i="1"/>
  <c r="AN5" i="1"/>
  <c r="AO5" i="1"/>
  <c r="AM6" i="1"/>
  <c r="AN6" i="1"/>
  <c r="AO6" i="1"/>
  <c r="AM7" i="1"/>
  <c r="AQ7" i="1" s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47" i="1"/>
  <c r="AN47" i="1"/>
  <c r="AO47" i="1"/>
  <c r="AM48" i="1"/>
  <c r="AN48" i="1"/>
  <c r="AO48" i="1"/>
  <c r="AM49" i="1"/>
  <c r="AN49" i="1"/>
  <c r="AO49" i="1"/>
  <c r="AM50" i="1"/>
  <c r="AN50" i="1"/>
  <c r="AO50" i="1"/>
  <c r="AM51" i="1"/>
  <c r="AN51" i="1"/>
  <c r="AO51" i="1"/>
  <c r="AM52" i="1"/>
  <c r="AN52" i="1"/>
  <c r="AO52" i="1"/>
  <c r="AM53" i="1"/>
  <c r="AN53" i="1"/>
  <c r="AO53" i="1"/>
  <c r="AM54" i="1"/>
  <c r="AN54" i="1"/>
  <c r="AO54" i="1"/>
  <c r="AM55" i="1"/>
  <c r="AN55" i="1"/>
  <c r="AO55" i="1"/>
  <c r="AM56" i="1"/>
  <c r="AN56" i="1"/>
  <c r="AO56" i="1"/>
  <c r="AM57" i="1"/>
  <c r="AN57" i="1"/>
  <c r="AO57" i="1"/>
  <c r="AM58" i="1"/>
  <c r="AN58" i="1"/>
  <c r="AO58" i="1"/>
  <c r="AM59" i="1"/>
  <c r="AN59" i="1"/>
  <c r="AO59" i="1"/>
  <c r="AM60" i="1"/>
  <c r="AN60" i="1"/>
  <c r="AO60" i="1"/>
  <c r="AM61" i="1"/>
  <c r="AN61" i="1"/>
  <c r="AO61" i="1"/>
  <c r="AM62" i="1"/>
  <c r="AN62" i="1"/>
  <c r="AO62" i="1"/>
  <c r="AM63" i="1"/>
  <c r="AN63" i="1"/>
  <c r="AO63" i="1"/>
  <c r="AI4" i="1"/>
  <c r="AJ4" i="1"/>
  <c r="AK4" i="1"/>
  <c r="AL4" i="1"/>
  <c r="AI5" i="1"/>
  <c r="AJ5" i="1"/>
  <c r="AK5" i="1"/>
  <c r="AL5" i="1"/>
  <c r="AI6" i="1"/>
  <c r="AJ6" i="1"/>
  <c r="AK6" i="1"/>
  <c r="AL6" i="1"/>
  <c r="AI7" i="1"/>
  <c r="AJ7" i="1"/>
  <c r="AK7" i="1"/>
  <c r="AL7" i="1"/>
  <c r="AI8" i="1"/>
  <c r="AJ8" i="1"/>
  <c r="AK8" i="1"/>
  <c r="AL8" i="1"/>
  <c r="AI9" i="1"/>
  <c r="AJ9" i="1"/>
  <c r="AK9" i="1"/>
  <c r="AL9" i="1"/>
  <c r="AI10" i="1"/>
  <c r="AJ10" i="1"/>
  <c r="AK10" i="1"/>
  <c r="AL10" i="1"/>
  <c r="AI11" i="1"/>
  <c r="AJ11" i="1"/>
  <c r="AK11" i="1"/>
  <c r="AL11" i="1"/>
  <c r="AI12" i="1"/>
  <c r="AJ12" i="1"/>
  <c r="AK12" i="1"/>
  <c r="AL12" i="1"/>
  <c r="AI13" i="1"/>
  <c r="AJ13" i="1"/>
  <c r="AK13" i="1"/>
  <c r="AL13" i="1"/>
  <c r="AI14" i="1"/>
  <c r="AJ14" i="1"/>
  <c r="AK14" i="1"/>
  <c r="AL14" i="1"/>
  <c r="AI15" i="1"/>
  <c r="AJ15" i="1"/>
  <c r="AK15" i="1"/>
  <c r="AL15" i="1"/>
  <c r="AI16" i="1"/>
  <c r="AJ16" i="1"/>
  <c r="AK16" i="1"/>
  <c r="AL16" i="1"/>
  <c r="AI17" i="1"/>
  <c r="AJ17" i="1"/>
  <c r="AK17" i="1"/>
  <c r="AL17" i="1"/>
  <c r="AI18" i="1"/>
  <c r="AJ18" i="1"/>
  <c r="AK18" i="1"/>
  <c r="AL18" i="1"/>
  <c r="AI19" i="1"/>
  <c r="AJ19" i="1"/>
  <c r="AK19" i="1"/>
  <c r="AL19" i="1"/>
  <c r="AI20" i="1"/>
  <c r="AJ20" i="1"/>
  <c r="AK20" i="1"/>
  <c r="AL20" i="1"/>
  <c r="AI21" i="1"/>
  <c r="AJ21" i="1"/>
  <c r="AK21" i="1"/>
  <c r="AL21" i="1"/>
  <c r="AI22" i="1"/>
  <c r="AJ22" i="1"/>
  <c r="AK22" i="1"/>
  <c r="AL22" i="1"/>
  <c r="AI23" i="1"/>
  <c r="AJ23" i="1"/>
  <c r="AK23" i="1"/>
  <c r="AL23" i="1"/>
  <c r="AI24" i="1"/>
  <c r="AJ24" i="1"/>
  <c r="AK24" i="1"/>
  <c r="AL24" i="1"/>
  <c r="AI25" i="1"/>
  <c r="AJ25" i="1"/>
  <c r="AK25" i="1"/>
  <c r="AL25" i="1"/>
  <c r="AI26" i="1"/>
  <c r="AJ26" i="1"/>
  <c r="AK26" i="1"/>
  <c r="AL26" i="1"/>
  <c r="AI27" i="1"/>
  <c r="AJ27" i="1"/>
  <c r="AK27" i="1"/>
  <c r="AL27" i="1"/>
  <c r="AI28" i="1"/>
  <c r="AJ28" i="1"/>
  <c r="AK28" i="1"/>
  <c r="AL28" i="1"/>
  <c r="AI29" i="1"/>
  <c r="AJ29" i="1"/>
  <c r="AK29" i="1"/>
  <c r="AL29" i="1"/>
  <c r="AI30" i="1"/>
  <c r="AJ30" i="1"/>
  <c r="AK30" i="1"/>
  <c r="AL30" i="1"/>
  <c r="AI31" i="1"/>
  <c r="AJ31" i="1"/>
  <c r="AK31" i="1"/>
  <c r="AL31" i="1"/>
  <c r="AI32" i="1"/>
  <c r="AJ32" i="1"/>
  <c r="AK32" i="1"/>
  <c r="AL32" i="1"/>
  <c r="AI33" i="1"/>
  <c r="AJ33" i="1"/>
  <c r="AK33" i="1"/>
  <c r="AL33" i="1"/>
  <c r="AI34" i="1"/>
  <c r="AJ34" i="1"/>
  <c r="AK34" i="1"/>
  <c r="AL34" i="1"/>
  <c r="AI35" i="1"/>
  <c r="AJ35" i="1"/>
  <c r="AK35" i="1"/>
  <c r="AL35" i="1"/>
  <c r="AI36" i="1"/>
  <c r="AJ36" i="1"/>
  <c r="AK36" i="1"/>
  <c r="AL36" i="1"/>
  <c r="AI47" i="1"/>
  <c r="AJ47" i="1"/>
  <c r="AK47" i="1"/>
  <c r="AL47" i="1"/>
  <c r="AI48" i="1"/>
  <c r="AJ48" i="1"/>
  <c r="AK48" i="1"/>
  <c r="AL48" i="1"/>
  <c r="AI49" i="1"/>
  <c r="AJ49" i="1"/>
  <c r="AK49" i="1"/>
  <c r="AL49" i="1"/>
  <c r="AI50" i="1"/>
  <c r="AJ50" i="1"/>
  <c r="AK50" i="1"/>
  <c r="AL50" i="1"/>
  <c r="AI51" i="1"/>
  <c r="AJ51" i="1"/>
  <c r="AK51" i="1"/>
  <c r="AL51" i="1"/>
  <c r="AI52" i="1"/>
  <c r="AJ52" i="1"/>
  <c r="AK52" i="1"/>
  <c r="AL52" i="1"/>
  <c r="AI53" i="1"/>
  <c r="AJ53" i="1"/>
  <c r="AK53" i="1"/>
  <c r="AL53" i="1"/>
  <c r="AI54" i="1"/>
  <c r="AJ54" i="1"/>
  <c r="AK54" i="1"/>
  <c r="AL54" i="1"/>
  <c r="AI55" i="1"/>
  <c r="AJ55" i="1"/>
  <c r="AK55" i="1"/>
  <c r="AL55" i="1"/>
  <c r="AI56" i="1"/>
  <c r="AJ56" i="1"/>
  <c r="AK56" i="1"/>
  <c r="AL56" i="1"/>
  <c r="AI57" i="1"/>
  <c r="AJ57" i="1"/>
  <c r="AK57" i="1"/>
  <c r="AL57" i="1"/>
  <c r="AI58" i="1"/>
  <c r="AJ58" i="1"/>
  <c r="AK58" i="1"/>
  <c r="AL58" i="1"/>
  <c r="AI59" i="1"/>
  <c r="AJ59" i="1"/>
  <c r="AK59" i="1"/>
  <c r="AL59" i="1"/>
  <c r="AI60" i="1"/>
  <c r="AJ60" i="1"/>
  <c r="AK60" i="1"/>
  <c r="AL60" i="1"/>
  <c r="AI61" i="1"/>
  <c r="AJ61" i="1"/>
  <c r="AK61" i="1"/>
  <c r="AL61" i="1"/>
  <c r="AI62" i="1"/>
  <c r="AJ62" i="1"/>
  <c r="AK62" i="1"/>
  <c r="AL62" i="1"/>
  <c r="AI63" i="1"/>
  <c r="AJ63" i="1"/>
  <c r="AK63" i="1"/>
  <c r="AL63" i="1"/>
  <c r="AO3" i="1"/>
  <c r="AN3" i="1"/>
  <c r="AJ3" i="1"/>
  <c r="AM3" i="1"/>
  <c r="AQ3" i="1" s="1"/>
  <c r="AI3" i="1"/>
  <c r="AP3" i="1" s="1"/>
  <c r="AK3" i="1"/>
  <c r="AL3" i="1"/>
  <c r="AG40" i="1" l="1"/>
  <c r="AF39" i="1"/>
  <c r="AE39" i="1" s="1"/>
  <c r="AQ61" i="1"/>
  <c r="AQ53" i="1"/>
  <c r="AQ8" i="1"/>
  <c r="AQ55" i="1"/>
  <c r="AQ47" i="1"/>
  <c r="AQ29" i="1"/>
  <c r="AQ21" i="1"/>
  <c r="AQ13" i="1"/>
  <c r="AQ5" i="1"/>
  <c r="AQ4" i="1"/>
  <c r="AQ23" i="1"/>
  <c r="AQ59" i="1"/>
  <c r="AQ51" i="1"/>
  <c r="AQ33" i="1"/>
  <c r="AQ25" i="1"/>
  <c r="AH25" i="1" s="1"/>
  <c r="AQ17" i="1"/>
  <c r="AQ9" i="1"/>
  <c r="AQ63" i="1"/>
  <c r="AQ49" i="1"/>
  <c r="AP62" i="1"/>
  <c r="AP60" i="1"/>
  <c r="AP58" i="1"/>
  <c r="AP56" i="1"/>
  <c r="AP54" i="1"/>
  <c r="AP52" i="1"/>
  <c r="AP50" i="1"/>
  <c r="AP48" i="1"/>
  <c r="AP36" i="1"/>
  <c r="AP34" i="1"/>
  <c r="AP32" i="1"/>
  <c r="AP30" i="1"/>
  <c r="AP28" i="1"/>
  <c r="AP26" i="1"/>
  <c r="AP24" i="1"/>
  <c r="AP22" i="1"/>
  <c r="AP20" i="1"/>
  <c r="AP18" i="1"/>
  <c r="AP16" i="1"/>
  <c r="AP14" i="1"/>
  <c r="AP12" i="1"/>
  <c r="AP10" i="1"/>
  <c r="AP8" i="1"/>
  <c r="AP6" i="1"/>
  <c r="AP4" i="1"/>
  <c r="AQ56" i="1"/>
  <c r="AQ48" i="1"/>
  <c r="AQ35" i="1"/>
  <c r="AQ30" i="1"/>
  <c r="AQ27" i="1"/>
  <c r="AQ22" i="1"/>
  <c r="AQ19" i="1"/>
  <c r="AQ14" i="1"/>
  <c r="AQ11" i="1"/>
  <c r="AQ6" i="1"/>
  <c r="AQ58" i="1"/>
  <c r="AQ50" i="1"/>
  <c r="AQ32" i="1"/>
  <c r="AQ24" i="1"/>
  <c r="AH24" i="1" s="1"/>
  <c r="AQ16" i="1"/>
  <c r="AP63" i="1"/>
  <c r="AP61" i="1"/>
  <c r="AP59" i="1"/>
  <c r="AP57" i="1"/>
  <c r="AP55" i="1"/>
  <c r="AP53" i="1"/>
  <c r="AP51" i="1"/>
  <c r="AP49" i="1"/>
  <c r="AP47" i="1"/>
  <c r="AP35" i="1"/>
  <c r="AP33" i="1"/>
  <c r="AP31" i="1"/>
  <c r="AP29" i="1"/>
  <c r="AP27" i="1"/>
  <c r="AP25" i="1"/>
  <c r="AP23" i="1"/>
  <c r="AP21" i="1"/>
  <c r="AP19" i="1"/>
  <c r="AP17" i="1"/>
  <c r="AP15" i="1"/>
  <c r="AP13" i="1"/>
  <c r="AP11" i="1"/>
  <c r="AP9" i="1"/>
  <c r="AP7" i="1"/>
  <c r="AP5" i="1"/>
  <c r="AQ60" i="1"/>
  <c r="AQ52" i="1"/>
  <c r="AQ34" i="1"/>
  <c r="AQ26" i="1"/>
  <c r="AQ18" i="1"/>
  <c r="AQ10" i="1"/>
  <c r="AQ57" i="1"/>
  <c r="AQ31" i="1"/>
  <c r="AQ15" i="1"/>
  <c r="AQ62" i="1"/>
  <c r="AQ54" i="1"/>
  <c r="AQ36" i="1"/>
  <c r="AQ28" i="1"/>
  <c r="AQ20" i="1"/>
  <c r="AQ12" i="1"/>
  <c r="AB63" i="1"/>
  <c r="AC63" i="1"/>
  <c r="AB64" i="1"/>
  <c r="AC64" i="1"/>
  <c r="AE64" i="1"/>
  <c r="AB65" i="1"/>
  <c r="AC65" i="1"/>
  <c r="AE65" i="1"/>
  <c r="AB66" i="1"/>
  <c r="AC66" i="1"/>
  <c r="AE66" i="1"/>
  <c r="AB67" i="1"/>
  <c r="AC67" i="1"/>
  <c r="AE67" i="1"/>
  <c r="AB68" i="1"/>
  <c r="AC68" i="1"/>
  <c r="AE68" i="1"/>
  <c r="AB69" i="1"/>
  <c r="AC69" i="1"/>
  <c r="AE69" i="1"/>
  <c r="AB70" i="1"/>
  <c r="AC70" i="1"/>
  <c r="AE70" i="1"/>
  <c r="AB71" i="1"/>
  <c r="AC71" i="1"/>
  <c r="AE71" i="1"/>
  <c r="AB72" i="1"/>
  <c r="AC72" i="1"/>
  <c r="AE72" i="1"/>
  <c r="AB73" i="1"/>
  <c r="AC73" i="1"/>
  <c r="AE73" i="1"/>
  <c r="AB74" i="1"/>
  <c r="AC74" i="1"/>
  <c r="AE74" i="1"/>
  <c r="AB75" i="1"/>
  <c r="AC75" i="1"/>
  <c r="AE75" i="1"/>
  <c r="AB76" i="1"/>
  <c r="AC76" i="1"/>
  <c r="AE76" i="1"/>
  <c r="AB77" i="1"/>
  <c r="AC77" i="1"/>
  <c r="AE77" i="1"/>
  <c r="AB78" i="1"/>
  <c r="AC78" i="1"/>
  <c r="AE78" i="1"/>
  <c r="AB79" i="1"/>
  <c r="AC79" i="1"/>
  <c r="AE79" i="1"/>
  <c r="AB80" i="1"/>
  <c r="AC80" i="1"/>
  <c r="AE80" i="1"/>
  <c r="AB81" i="1"/>
  <c r="AC81" i="1"/>
  <c r="AE81" i="1"/>
  <c r="AB82" i="1"/>
  <c r="AC82" i="1"/>
  <c r="AE82" i="1"/>
  <c r="AB83" i="1"/>
  <c r="AC83" i="1"/>
  <c r="AE83" i="1"/>
  <c r="AB84" i="1"/>
  <c r="AC84" i="1"/>
  <c r="AE84" i="1"/>
  <c r="AB85" i="1"/>
  <c r="AC85" i="1"/>
  <c r="AE85" i="1"/>
  <c r="AB86" i="1"/>
  <c r="AC86" i="1"/>
  <c r="AE86" i="1"/>
  <c r="AB87" i="1"/>
  <c r="AC87" i="1"/>
  <c r="AE87" i="1"/>
  <c r="AB88" i="1"/>
  <c r="AC88" i="1"/>
  <c r="AE88" i="1"/>
  <c r="AB89" i="1"/>
  <c r="AC89" i="1"/>
  <c r="AE89" i="1"/>
  <c r="AB90" i="1"/>
  <c r="AC90" i="1"/>
  <c r="AE90" i="1"/>
  <c r="AB91" i="1"/>
  <c r="AC91" i="1"/>
  <c r="AE91" i="1"/>
  <c r="AB92" i="1"/>
  <c r="AC92" i="1"/>
  <c r="AE92" i="1"/>
  <c r="AB93" i="1"/>
  <c r="AC93" i="1"/>
  <c r="AE93" i="1"/>
  <c r="AB94" i="1"/>
  <c r="AC94" i="1"/>
  <c r="AE94" i="1"/>
  <c r="AB95" i="1"/>
  <c r="AC95" i="1"/>
  <c r="AE95" i="1"/>
  <c r="AB96" i="1"/>
  <c r="AC96" i="1"/>
  <c r="AE96" i="1"/>
  <c r="AB97" i="1"/>
  <c r="AC97" i="1"/>
  <c r="AE97" i="1"/>
  <c r="AB98" i="1"/>
  <c r="AC98" i="1"/>
  <c r="AE98" i="1"/>
  <c r="AB99" i="1"/>
  <c r="AC99" i="1"/>
  <c r="AE99" i="1"/>
  <c r="AB100" i="1"/>
  <c r="AC100" i="1"/>
  <c r="AE100" i="1"/>
  <c r="AB101" i="1"/>
  <c r="AC101" i="1"/>
  <c r="AE101" i="1"/>
  <c r="AB102" i="1"/>
  <c r="AC102" i="1"/>
  <c r="AE102" i="1"/>
  <c r="AB103" i="1"/>
  <c r="AC103" i="1"/>
  <c r="AE103" i="1"/>
  <c r="AB104" i="1"/>
  <c r="AC104" i="1"/>
  <c r="AE104" i="1"/>
  <c r="AB105" i="1"/>
  <c r="AC105" i="1"/>
  <c r="AE105" i="1"/>
  <c r="AB106" i="1"/>
  <c r="AC106" i="1"/>
  <c r="AE106" i="1"/>
  <c r="AB107" i="1"/>
  <c r="AC107" i="1"/>
  <c r="AE107" i="1"/>
  <c r="AB108" i="1"/>
  <c r="AC108" i="1"/>
  <c r="AE108" i="1"/>
  <c r="AB109" i="1"/>
  <c r="AC109" i="1"/>
  <c r="AE109" i="1"/>
  <c r="Z64" i="1"/>
  <c r="Z68" i="1"/>
  <c r="Z72" i="1"/>
  <c r="Z76" i="1"/>
  <c r="Z80" i="1"/>
  <c r="Z84" i="1"/>
  <c r="Z88" i="1"/>
  <c r="Z92" i="1"/>
  <c r="Z96" i="1"/>
  <c r="Z100" i="1"/>
  <c r="Z104" i="1"/>
  <c r="Z108" i="1"/>
  <c r="V64" i="1"/>
  <c r="AA64" i="1"/>
  <c r="V65" i="1"/>
  <c r="Z65" i="1" s="1"/>
  <c r="AA65" i="1"/>
  <c r="V66" i="1"/>
  <c r="Z66" i="1" s="1"/>
  <c r="AA66" i="1"/>
  <c r="V67" i="1"/>
  <c r="Z67" i="1" s="1"/>
  <c r="AA67" i="1"/>
  <c r="V68" i="1"/>
  <c r="AA68" i="1"/>
  <c r="V69" i="1"/>
  <c r="Z69" i="1" s="1"/>
  <c r="AA69" i="1"/>
  <c r="V70" i="1"/>
  <c r="Z70" i="1" s="1"/>
  <c r="AA70" i="1"/>
  <c r="AD70" i="1" s="1"/>
  <c r="V71" i="1"/>
  <c r="Z71" i="1" s="1"/>
  <c r="AA71" i="1"/>
  <c r="V72" i="1"/>
  <c r="AA72" i="1"/>
  <c r="AD72" i="1" s="1"/>
  <c r="V73" i="1"/>
  <c r="Z73" i="1" s="1"/>
  <c r="AA73" i="1"/>
  <c r="V74" i="1"/>
  <c r="Z74" i="1" s="1"/>
  <c r="AA74" i="1"/>
  <c r="V75" i="1"/>
  <c r="Z75" i="1" s="1"/>
  <c r="AA75" i="1"/>
  <c r="V76" i="1"/>
  <c r="AA76" i="1"/>
  <c r="V77" i="1"/>
  <c r="Z77" i="1" s="1"/>
  <c r="AA77" i="1"/>
  <c r="V78" i="1"/>
  <c r="Z78" i="1" s="1"/>
  <c r="AA78" i="1"/>
  <c r="AD78" i="1" s="1"/>
  <c r="V79" i="1"/>
  <c r="Z79" i="1" s="1"/>
  <c r="AA79" i="1"/>
  <c r="V80" i="1"/>
  <c r="AA80" i="1"/>
  <c r="AD80" i="1" s="1"/>
  <c r="V81" i="1"/>
  <c r="Z81" i="1" s="1"/>
  <c r="AA81" i="1"/>
  <c r="V82" i="1"/>
  <c r="Z82" i="1" s="1"/>
  <c r="AA82" i="1"/>
  <c r="V83" i="1"/>
  <c r="Z83" i="1" s="1"/>
  <c r="AA83" i="1"/>
  <c r="V84" i="1"/>
  <c r="AA84" i="1"/>
  <c r="V85" i="1"/>
  <c r="Z85" i="1" s="1"/>
  <c r="AA85" i="1"/>
  <c r="V86" i="1"/>
  <c r="Z86" i="1" s="1"/>
  <c r="AA86" i="1"/>
  <c r="AD86" i="1" s="1"/>
  <c r="V87" i="1"/>
  <c r="Z87" i="1" s="1"/>
  <c r="AA87" i="1"/>
  <c r="V88" i="1"/>
  <c r="AA88" i="1"/>
  <c r="AD88" i="1" s="1"/>
  <c r="V89" i="1"/>
  <c r="Z89" i="1" s="1"/>
  <c r="AA89" i="1"/>
  <c r="V90" i="1"/>
  <c r="Z90" i="1" s="1"/>
  <c r="AA90" i="1"/>
  <c r="V91" i="1"/>
  <c r="Z91" i="1" s="1"/>
  <c r="AA91" i="1"/>
  <c r="V92" i="1"/>
  <c r="AA92" i="1"/>
  <c r="V93" i="1"/>
  <c r="Z93" i="1" s="1"/>
  <c r="AA93" i="1"/>
  <c r="V94" i="1"/>
  <c r="Z94" i="1" s="1"/>
  <c r="AA94" i="1"/>
  <c r="AD94" i="1" s="1"/>
  <c r="V95" i="1"/>
  <c r="Z95" i="1" s="1"/>
  <c r="AA95" i="1"/>
  <c r="V96" i="1"/>
  <c r="AA96" i="1"/>
  <c r="AD96" i="1" s="1"/>
  <c r="V97" i="1"/>
  <c r="Z97" i="1" s="1"/>
  <c r="AA97" i="1"/>
  <c r="V98" i="1"/>
  <c r="Z98" i="1" s="1"/>
  <c r="AA98" i="1"/>
  <c r="V99" i="1"/>
  <c r="Z99" i="1" s="1"/>
  <c r="AA99" i="1"/>
  <c r="V100" i="1"/>
  <c r="AA100" i="1"/>
  <c r="V101" i="1"/>
  <c r="Z101" i="1" s="1"/>
  <c r="AA101" i="1"/>
  <c r="V102" i="1"/>
  <c r="Z102" i="1" s="1"/>
  <c r="AA102" i="1"/>
  <c r="AD102" i="1" s="1"/>
  <c r="V103" i="1"/>
  <c r="Z103" i="1" s="1"/>
  <c r="AA103" i="1"/>
  <c r="V104" i="1"/>
  <c r="AA104" i="1"/>
  <c r="AD104" i="1" s="1"/>
  <c r="V105" i="1"/>
  <c r="Z105" i="1" s="1"/>
  <c r="AA105" i="1"/>
  <c r="AD105" i="1" s="1"/>
  <c r="V106" i="1"/>
  <c r="Z106" i="1" s="1"/>
  <c r="AA106" i="1"/>
  <c r="V107" i="1"/>
  <c r="Z107" i="1" s="1"/>
  <c r="AA107" i="1"/>
  <c r="V108" i="1"/>
  <c r="AA108" i="1"/>
  <c r="V109" i="1"/>
  <c r="Z109" i="1" s="1"/>
  <c r="AA109" i="1"/>
  <c r="AA63" i="1"/>
  <c r="V63" i="1"/>
  <c r="Z63" i="1" s="1"/>
  <c r="AE6" i="1"/>
  <c r="AE10" i="1"/>
  <c r="AE12" i="1"/>
  <c r="AE14" i="1"/>
  <c r="AE15" i="1"/>
  <c r="AE19" i="1"/>
  <c r="AE22" i="1"/>
  <c r="AE31" i="1"/>
  <c r="AE47" i="1"/>
  <c r="AE48" i="1"/>
  <c r="AE61" i="1"/>
  <c r="AF3" i="1"/>
  <c r="AG4" i="1"/>
  <c r="AG5" i="1" s="1"/>
  <c r="AA4" i="1"/>
  <c r="AB4" i="1"/>
  <c r="AC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C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C3" i="1"/>
  <c r="AB3" i="1"/>
  <c r="AA3" i="1"/>
  <c r="AD3" i="1" s="1"/>
  <c r="Y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3" i="1"/>
  <c r="W4" i="1"/>
  <c r="X4" i="1"/>
  <c r="Y4" i="1"/>
  <c r="W5" i="1"/>
  <c r="X5" i="1"/>
  <c r="Y5" i="1"/>
  <c r="W6" i="1"/>
  <c r="X6" i="1"/>
  <c r="Y6" i="1"/>
  <c r="W7" i="1"/>
  <c r="X7" i="1"/>
  <c r="Y7" i="1"/>
  <c r="W8" i="1"/>
  <c r="X8" i="1"/>
  <c r="Y8" i="1"/>
  <c r="W9" i="1"/>
  <c r="X9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X3" i="1"/>
  <c r="Z3" i="1" s="1"/>
  <c r="W3" i="1"/>
  <c r="D61" i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48" i="1"/>
  <c r="D49" i="1" s="1"/>
  <c r="D50" i="1" s="1"/>
  <c r="D51" i="1" s="1"/>
  <c r="C48" i="1"/>
  <c r="C49" i="1" s="1"/>
  <c r="C50" i="1" s="1"/>
  <c r="C51" i="1" s="1"/>
  <c r="D31" i="1"/>
  <c r="D32" i="1" s="1"/>
  <c r="D33" i="1" s="1"/>
  <c r="D34" i="1" s="1"/>
  <c r="D35" i="1" s="1"/>
  <c r="D36" i="1" s="1"/>
  <c r="D22" i="1"/>
  <c r="D23" i="1" s="1"/>
  <c r="D24" i="1" s="1"/>
  <c r="D25" i="1" s="1"/>
  <c r="D26" i="1" s="1"/>
  <c r="D27" i="1" s="1"/>
  <c r="D28" i="1" s="1"/>
  <c r="D29" i="1" s="1"/>
  <c r="D30" i="1" s="1"/>
  <c r="D19" i="1"/>
  <c r="D20" i="1" s="1"/>
  <c r="D21" i="1" s="1"/>
  <c r="D15" i="1"/>
  <c r="D16" i="1" s="1"/>
  <c r="D17" i="1" s="1"/>
  <c r="D18" i="1" s="1"/>
  <c r="D14" i="1"/>
  <c r="C14" i="1"/>
  <c r="C15" i="1" s="1"/>
  <c r="C16" i="1" s="1"/>
  <c r="D12" i="1"/>
  <c r="D13" i="1" s="1"/>
  <c r="C12" i="1"/>
  <c r="C13" i="1" s="1"/>
  <c r="D10" i="1"/>
  <c r="D11" i="1" s="1"/>
  <c r="C10" i="1"/>
  <c r="C11" i="1" s="1"/>
  <c r="D6" i="1"/>
  <c r="D7" i="1" s="1"/>
  <c r="D8" i="1" s="1"/>
  <c r="D9" i="1" s="1"/>
  <c r="C6" i="1"/>
  <c r="C7" i="1" s="1"/>
  <c r="D2" i="1"/>
  <c r="D3" i="1" s="1"/>
  <c r="D4" i="1" s="1"/>
  <c r="D5" i="1" s="1"/>
  <c r="C2" i="1"/>
  <c r="C3" i="1" s="1"/>
  <c r="C52" i="1" l="1"/>
  <c r="AE52" i="1" s="1"/>
  <c r="D52" i="1"/>
  <c r="D53" i="1" s="1"/>
  <c r="D54" i="1" s="1"/>
  <c r="D55" i="1" s="1"/>
  <c r="D56" i="1" s="1"/>
  <c r="D57" i="1" s="1"/>
  <c r="D58" i="1" s="1"/>
  <c r="D59" i="1" s="1"/>
  <c r="D60" i="1" s="1"/>
  <c r="AG41" i="1"/>
  <c r="AF40" i="1"/>
  <c r="AE13" i="1"/>
  <c r="Z56" i="1"/>
  <c r="Z48" i="1"/>
  <c r="Z30" i="1"/>
  <c r="Z22" i="1"/>
  <c r="Z14" i="1"/>
  <c r="AD59" i="1"/>
  <c r="AD51" i="1"/>
  <c r="AD33" i="1"/>
  <c r="AD25" i="1"/>
  <c r="AD17" i="1"/>
  <c r="AD9" i="1"/>
  <c r="Z60" i="1"/>
  <c r="Z52" i="1"/>
  <c r="Z34" i="1"/>
  <c r="Z26" i="1"/>
  <c r="Z18" i="1"/>
  <c r="Z59" i="1"/>
  <c r="Z51" i="1"/>
  <c r="Z33" i="1"/>
  <c r="Z25" i="1"/>
  <c r="Z17" i="1"/>
  <c r="Z54" i="1"/>
  <c r="Z36" i="1"/>
  <c r="Z28" i="1"/>
  <c r="Z20" i="1"/>
  <c r="Z12" i="1"/>
  <c r="Z4" i="1"/>
  <c r="AE11" i="1"/>
  <c r="AD60" i="1"/>
  <c r="AD52" i="1"/>
  <c r="AD34" i="1"/>
  <c r="AD26" i="1"/>
  <c r="AD18" i="1"/>
  <c r="AD10" i="1"/>
  <c r="Z10" i="1"/>
  <c r="Z9" i="1"/>
  <c r="AH9" i="1" s="1"/>
  <c r="BE9" i="1" s="1"/>
  <c r="Z58" i="1"/>
  <c r="Z50" i="1"/>
  <c r="Z32" i="1"/>
  <c r="Z24" i="1"/>
  <c r="Z16" i="1"/>
  <c r="Z8" i="1"/>
  <c r="AH8" i="1" s="1"/>
  <c r="BE8" i="1" s="1"/>
  <c r="Z57" i="1"/>
  <c r="Z49" i="1"/>
  <c r="Z31" i="1"/>
  <c r="Z23" i="1"/>
  <c r="Z15" i="1"/>
  <c r="Z7" i="1"/>
  <c r="Z6" i="1"/>
  <c r="Z55" i="1"/>
  <c r="Z47" i="1"/>
  <c r="Z29" i="1"/>
  <c r="Z21" i="1"/>
  <c r="Z13" i="1"/>
  <c r="Z61" i="1"/>
  <c r="Z53" i="1"/>
  <c r="Z35" i="1"/>
  <c r="Z27" i="1"/>
  <c r="Z19" i="1"/>
  <c r="AD56" i="1"/>
  <c r="AD48" i="1"/>
  <c r="AD30" i="1"/>
  <c r="AD22" i="1"/>
  <c r="AD14" i="1"/>
  <c r="AD6" i="1"/>
  <c r="C17" i="1"/>
  <c r="AG6" i="1"/>
  <c r="AF5" i="1"/>
  <c r="C4" i="1"/>
  <c r="AE3" i="1"/>
  <c r="C8" i="1"/>
  <c r="AE7" i="1"/>
  <c r="AD58" i="1"/>
  <c r="AD50" i="1"/>
  <c r="AD32" i="1"/>
  <c r="AD24" i="1"/>
  <c r="AD16" i="1"/>
  <c r="AD8" i="1"/>
  <c r="AD91" i="1"/>
  <c r="AD89" i="1"/>
  <c r="AD87" i="1"/>
  <c r="AD76" i="1"/>
  <c r="AD55" i="1"/>
  <c r="AD47" i="1"/>
  <c r="AD29" i="1"/>
  <c r="AD21" i="1"/>
  <c r="AD13" i="1"/>
  <c r="AD5" i="1"/>
  <c r="AF4" i="1"/>
  <c r="AD98" i="1"/>
  <c r="AD85" i="1"/>
  <c r="AD66" i="1"/>
  <c r="AH66" i="1" s="1"/>
  <c r="BE66" i="1" s="1"/>
  <c r="AD109" i="1"/>
  <c r="AD100" i="1"/>
  <c r="AD83" i="1"/>
  <c r="AD81" i="1"/>
  <c r="AD68" i="1"/>
  <c r="AD63" i="1"/>
  <c r="AD57" i="1"/>
  <c r="AD49" i="1"/>
  <c r="AD31" i="1"/>
  <c r="AD23" i="1"/>
  <c r="AD15" i="1"/>
  <c r="AD7" i="1"/>
  <c r="AD107" i="1"/>
  <c r="AD90" i="1"/>
  <c r="AD79" i="1"/>
  <c r="AD77" i="1"/>
  <c r="Z62" i="1"/>
  <c r="AD62" i="1"/>
  <c r="AD54" i="1"/>
  <c r="AD36" i="1"/>
  <c r="AD28" i="1"/>
  <c r="AD20" i="1"/>
  <c r="AD12" i="1"/>
  <c r="AD4" i="1"/>
  <c r="AD103" i="1"/>
  <c r="AD92" i="1"/>
  <c r="AD75" i="1"/>
  <c r="AD73" i="1"/>
  <c r="AD64" i="1"/>
  <c r="AE51" i="1"/>
  <c r="AD101" i="1"/>
  <c r="AD82" i="1"/>
  <c r="AD71" i="1"/>
  <c r="AD69" i="1"/>
  <c r="AE50" i="1"/>
  <c r="AD106" i="1"/>
  <c r="AD99" i="1"/>
  <c r="AD97" i="1"/>
  <c r="AD95" i="1"/>
  <c r="AD84" i="1"/>
  <c r="AD67" i="1"/>
  <c r="AD61" i="1"/>
  <c r="AD53" i="1"/>
  <c r="AD35" i="1"/>
  <c r="AD27" i="1"/>
  <c r="AD19" i="1"/>
  <c r="AD11" i="1"/>
  <c r="AE49" i="1"/>
  <c r="AD108" i="1"/>
  <c r="AD93" i="1"/>
  <c r="AD74" i="1"/>
  <c r="AD65" i="1"/>
  <c r="AH65" i="1" s="1"/>
  <c r="BE65" i="1" s="1"/>
  <c r="Z11" i="1"/>
  <c r="AH11" i="1" s="1"/>
  <c r="BE11" i="1" s="1"/>
  <c r="Z5" i="1"/>
  <c r="C53" i="1" l="1"/>
  <c r="AF41" i="1"/>
  <c r="AG42" i="1"/>
  <c r="C5" i="1"/>
  <c r="AE5" i="1" s="1"/>
  <c r="AE4" i="1"/>
  <c r="AG7" i="1"/>
  <c r="AF6" i="1"/>
  <c r="C9" i="1"/>
  <c r="C18" i="1"/>
  <c r="C54" i="1" l="1"/>
  <c r="AE53" i="1"/>
  <c r="AG43" i="1"/>
  <c r="AF42" i="1"/>
  <c r="C19" i="1"/>
  <c r="C20" i="1" s="1"/>
  <c r="AG8" i="1"/>
  <c r="AF7" i="1"/>
  <c r="C55" i="1" l="1"/>
  <c r="AE54" i="1"/>
  <c r="AF43" i="1"/>
  <c r="AE43" i="1" s="1"/>
  <c r="AG44" i="1"/>
  <c r="AG9" i="1"/>
  <c r="AF8" i="1"/>
  <c r="AE8" i="1" s="1"/>
  <c r="C21" i="1"/>
  <c r="AE20" i="1"/>
  <c r="C56" i="1" l="1"/>
  <c r="AE55" i="1"/>
  <c r="AF44" i="1"/>
  <c r="AG45" i="1"/>
  <c r="C22" i="1"/>
  <c r="C23" i="1" s="1"/>
  <c r="AG10" i="1"/>
  <c r="AF9" i="1"/>
  <c r="AE9" i="1" s="1"/>
  <c r="C57" i="1" l="1"/>
  <c r="C58" i="1" s="1"/>
  <c r="AE56" i="1"/>
  <c r="AG46" i="1"/>
  <c r="AF45" i="1"/>
  <c r="AG11" i="1"/>
  <c r="AF10" i="1"/>
  <c r="C24" i="1"/>
  <c r="AF46" i="1" l="1"/>
  <c r="AE46" i="1" s="1"/>
  <c r="AG47" i="1"/>
  <c r="C59" i="1"/>
  <c r="AE58" i="1"/>
  <c r="C25" i="1"/>
  <c r="AE24" i="1"/>
  <c r="AG12" i="1"/>
  <c r="AF11" i="1"/>
  <c r="C60" i="1" l="1"/>
  <c r="AE59" i="1"/>
  <c r="AG13" i="1"/>
  <c r="AF12" i="1"/>
  <c r="C26" i="1"/>
  <c r="C61" i="1" l="1"/>
  <c r="C62" i="1" s="1"/>
  <c r="AE60" i="1"/>
  <c r="C27" i="1"/>
  <c r="AG14" i="1"/>
  <c r="AF13" i="1"/>
  <c r="C63" i="1" l="1"/>
  <c r="AE62" i="1"/>
  <c r="AG15" i="1"/>
  <c r="AF14" i="1"/>
  <c r="C28" i="1"/>
  <c r="C64" i="1" l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AE63" i="1"/>
  <c r="C29" i="1"/>
  <c r="AG16" i="1"/>
  <c r="AF15" i="1"/>
  <c r="AG17" i="1" l="1"/>
  <c r="AF16" i="1"/>
  <c r="AE16" i="1" s="1"/>
  <c r="C30" i="1"/>
  <c r="C31" i="1" l="1"/>
  <c r="C32" i="1" s="1"/>
  <c r="AG18" i="1"/>
  <c r="AF17" i="1"/>
  <c r="AE17" i="1" s="1"/>
  <c r="AG19" i="1" l="1"/>
  <c r="AF18" i="1"/>
  <c r="AE18" i="1" s="1"/>
  <c r="C33" i="1"/>
  <c r="C34" i="1" l="1"/>
  <c r="AE33" i="1"/>
  <c r="AG20" i="1"/>
  <c r="AF19" i="1"/>
  <c r="AG21" i="1" l="1"/>
  <c r="AF20" i="1"/>
  <c r="C35" i="1"/>
  <c r="AE34" i="1"/>
  <c r="C36" i="1" l="1"/>
  <c r="AE36" i="1" s="1"/>
  <c r="AE35" i="1"/>
  <c r="AG22" i="1"/>
  <c r="AF21" i="1"/>
  <c r="AE21" i="1" s="1"/>
  <c r="AG23" i="1" l="1"/>
  <c r="AF22" i="1"/>
  <c r="AG24" i="1" l="1"/>
  <c r="AF23" i="1"/>
  <c r="AE23" i="1" s="1"/>
  <c r="AG25" i="1" l="1"/>
  <c r="AF24" i="1"/>
  <c r="AG26" i="1" l="1"/>
  <c r="AF25" i="1"/>
  <c r="AE25" i="1" s="1"/>
  <c r="AG27" i="1" l="1"/>
  <c r="AF26" i="1"/>
  <c r="AE26" i="1" s="1"/>
  <c r="AG28" i="1" l="1"/>
  <c r="AF27" i="1"/>
  <c r="AE27" i="1" s="1"/>
  <c r="AG29" i="1" l="1"/>
  <c r="AF28" i="1"/>
  <c r="AE28" i="1" s="1"/>
  <c r="AG30" i="1" l="1"/>
  <c r="AF29" i="1"/>
  <c r="AE29" i="1" s="1"/>
  <c r="AG31" i="1" l="1"/>
  <c r="AF30" i="1"/>
  <c r="AE30" i="1" s="1"/>
  <c r="AG32" i="1" l="1"/>
  <c r="AF31" i="1"/>
  <c r="AG33" i="1" l="1"/>
  <c r="AF32" i="1"/>
  <c r="AE32" i="1" s="1"/>
  <c r="AG34" i="1" l="1"/>
  <c r="AF33" i="1"/>
  <c r="AG35" i="1" l="1"/>
  <c r="AF34" i="1"/>
  <c r="AG36" i="1" l="1"/>
  <c r="AF35" i="1"/>
  <c r="AF36" i="1" l="1"/>
  <c r="AG48" i="1" l="1"/>
  <c r="AF47" i="1"/>
  <c r="AG49" i="1" l="1"/>
  <c r="AF48" i="1"/>
  <c r="AG50" i="1" l="1"/>
  <c r="AF49" i="1"/>
  <c r="AG51" i="1" l="1"/>
  <c r="AG52" i="1" s="1"/>
  <c r="AF50" i="1"/>
  <c r="AF51" i="1" l="1"/>
  <c r="AG53" i="1" l="1"/>
  <c r="AF52" i="1"/>
  <c r="AG54" i="1" l="1"/>
  <c r="AF53" i="1"/>
  <c r="AG55" i="1" l="1"/>
  <c r="AF54" i="1"/>
  <c r="AG56" i="1" l="1"/>
  <c r="AF55" i="1"/>
  <c r="AG57" i="1" l="1"/>
  <c r="AF56" i="1"/>
  <c r="AG58" i="1" l="1"/>
  <c r="AF57" i="1"/>
  <c r="AE57" i="1" s="1"/>
  <c r="AG59" i="1" l="1"/>
  <c r="AF58" i="1"/>
  <c r="AG60" i="1" l="1"/>
  <c r="AF59" i="1"/>
  <c r="AG61" i="1" l="1"/>
  <c r="AF60" i="1"/>
  <c r="AG62" i="1" l="1"/>
  <c r="AF61" i="1"/>
  <c r="AG63" i="1" l="1"/>
  <c r="AF62" i="1"/>
  <c r="AF63" i="1" l="1"/>
  <c r="AG64" i="1"/>
  <c r="AG65" i="1" l="1"/>
  <c r="AF64" i="1"/>
  <c r="AF65" i="1" l="1"/>
  <c r="AG66" i="1"/>
  <c r="AG67" i="1" l="1"/>
  <c r="AF66" i="1"/>
  <c r="AF67" i="1" l="1"/>
  <c r="AG68" i="1"/>
  <c r="AF68" i="1" l="1"/>
  <c r="AG69" i="1"/>
  <c r="AF69" i="1" l="1"/>
  <c r="AG70" i="1"/>
  <c r="AF70" i="1" l="1"/>
  <c r="AG71" i="1"/>
  <c r="AG72" i="1" l="1"/>
  <c r="AF71" i="1"/>
  <c r="AF72" i="1" l="1"/>
  <c r="AG73" i="1"/>
  <c r="AF73" i="1" l="1"/>
  <c r="AG74" i="1"/>
  <c r="AF74" i="1" l="1"/>
  <c r="AG75" i="1"/>
  <c r="AG76" i="1" l="1"/>
  <c r="AF75" i="1"/>
  <c r="AF76" i="1" l="1"/>
  <c r="AG77" i="1"/>
  <c r="AG78" i="1" l="1"/>
  <c r="AF77" i="1"/>
  <c r="AG79" i="1" l="1"/>
  <c r="AF78" i="1"/>
  <c r="AG80" i="1" l="1"/>
  <c r="AF79" i="1"/>
  <c r="AF80" i="1" l="1"/>
  <c r="AG81" i="1"/>
  <c r="AF81" i="1" l="1"/>
  <c r="AG82" i="1"/>
  <c r="AF82" i="1" l="1"/>
  <c r="AG83" i="1"/>
  <c r="AF83" i="1" l="1"/>
  <c r="AG84" i="1"/>
  <c r="AF84" i="1" l="1"/>
  <c r="AG85" i="1"/>
  <c r="AF85" i="1" l="1"/>
  <c r="AG86" i="1"/>
  <c r="AF86" i="1" l="1"/>
  <c r="AG87" i="1"/>
  <c r="AF87" i="1" l="1"/>
  <c r="AG88" i="1"/>
  <c r="AF88" i="1" l="1"/>
  <c r="AG89" i="1"/>
  <c r="AF89" i="1" l="1"/>
  <c r="AG90" i="1"/>
  <c r="AF90" i="1" l="1"/>
  <c r="AG91" i="1"/>
  <c r="AG92" i="1" l="1"/>
  <c r="AF91" i="1"/>
  <c r="AF92" i="1" l="1"/>
  <c r="AG93" i="1"/>
  <c r="AF93" i="1" l="1"/>
  <c r="AG94" i="1"/>
  <c r="AF94" i="1" l="1"/>
  <c r="AG95" i="1"/>
  <c r="AF95" i="1" l="1"/>
  <c r="AG96" i="1"/>
  <c r="AF96" i="1" l="1"/>
  <c r="AG97" i="1"/>
  <c r="AG98" i="1" l="1"/>
  <c r="AF97" i="1"/>
  <c r="AG99" i="1" l="1"/>
  <c r="AF98" i="1"/>
  <c r="AF99" i="1" l="1"/>
  <c r="AG100" i="1"/>
  <c r="AF100" i="1" l="1"/>
  <c r="AG101" i="1"/>
  <c r="AF101" i="1" l="1"/>
  <c r="AG102" i="1"/>
  <c r="AF102" i="1" l="1"/>
  <c r="AG103" i="1"/>
  <c r="AF103" i="1" l="1"/>
  <c r="AG104" i="1"/>
  <c r="AG105" i="1" l="1"/>
  <c r="AF104" i="1"/>
  <c r="AF105" i="1" l="1"/>
  <c r="AG106" i="1"/>
  <c r="AF106" i="1" l="1"/>
  <c r="AG107" i="1"/>
  <c r="AF107" i="1" l="1"/>
  <c r="AG108" i="1"/>
  <c r="AF108" i="1" l="1"/>
  <c r="AG109" i="1"/>
  <c r="AF109" i="1" s="1"/>
</calcChain>
</file>

<file path=xl/sharedStrings.xml><?xml version="1.0" encoding="utf-8"?>
<sst xmlns="http://schemas.openxmlformats.org/spreadsheetml/2006/main" count="973" uniqueCount="311">
  <si>
    <t>Block Types</t>
  </si>
  <si>
    <t>Inputs</t>
  </si>
  <si>
    <t>Outputs</t>
  </si>
  <si>
    <t>Description</t>
  </si>
  <si>
    <t>Visual Style</t>
  </si>
  <si>
    <t>Control</t>
  </si>
  <si>
    <t>if</t>
  </si>
  <si>
    <t>Cond</t>
  </si>
  <si>
    <t>A</t>
  </si>
  <si>
    <t>B</t>
  </si>
  <si>
    <t>O</t>
  </si>
  <si>
    <t>If Cond is true, O is A, else O is B</t>
  </si>
  <si>
    <t>ifvar</t>
  </si>
  <si>
    <t>If the value of Va is true, O is A, else O is B. Var is some compile time variable (eg. DEV for development version).</t>
  </si>
  <si>
    <t>flipflop</t>
  </si>
  <si>
    <t>J</t>
  </si>
  <si>
    <t>K</t>
  </si>
  <si>
    <t>a jk flipflop</t>
  </si>
  <si>
    <t>Editor Support</t>
  </si>
  <si>
    <t>isolate</t>
  </si>
  <si>
    <t>Default</t>
  </si>
  <si>
    <t>if the connection to A is visible, runs the network beyond A and passes A to O. Otherwise passes default to O. Used during development to prevent, for example, having to run the entire sound system because the sound system sends a hint to the CV system.</t>
  </si>
  <si>
    <t>inputparam</t>
  </si>
  <si>
    <t>used when defining new blocks</t>
  </si>
  <si>
    <t>textbox for name, dropdown for type</t>
  </si>
  <si>
    <t>outputparam</t>
  </si>
  <si>
    <t>Math</t>
  </si>
  <si>
    <t>func</t>
  </si>
  <si>
    <t>This special block has a textbox for a formula. So if you type 3x+2 you see an input parameter x. Operator meaning depends on whats connected to x (scalar or vector). Understands LSL angle bracket quat syntax</t>
  </si>
  <si>
    <t>Misc</t>
  </si>
  <si>
    <t>delay</t>
  </si>
  <si>
    <t>O is the previous stable value of A</t>
  </si>
  <si>
    <t>I/O</t>
  </si>
  <si>
    <t>scalar</t>
  </si>
  <si>
    <t>pulse</t>
  </si>
  <si>
    <t>Is 1 on the next frame after mouseup</t>
  </si>
  <si>
    <t>button</t>
  </si>
  <si>
    <t>proportion</t>
  </si>
  <si>
    <t>slider value from 0-1</t>
  </si>
  <si>
    <t>slider</t>
  </si>
  <si>
    <t>floatval</t>
  </si>
  <si>
    <t>float</t>
  </si>
  <si>
    <t>Some high dynamic range 'knob' that allows tuning through unlimited range with proportional accuracy</t>
  </si>
  <si>
    <t>sound</t>
  </si>
  <si>
    <t>mic</t>
  </si>
  <si>
    <t>samples from mic</t>
  </si>
  <si>
    <t>listen</t>
  </si>
  <si>
    <t>Sends sound to default output</t>
  </si>
  <si>
    <t>'listen' button with a lock icon, a la the old v1.0 SL speak button</t>
  </si>
  <si>
    <t>imaging</t>
  </si>
  <si>
    <t>camera</t>
  </si>
  <si>
    <t>O is frames out of camera, K is camera intrinsics</t>
  </si>
  <si>
    <t>Whatever device 0 OpenCV decides</t>
  </si>
  <si>
    <t>eyes</t>
  </si>
  <si>
    <t>x</t>
  </si>
  <si>
    <t>y</t>
  </si>
  <si>
    <t>OL</t>
  </si>
  <si>
    <t>OR</t>
  </si>
  <si>
    <t>input is commanded eye position, output is left and right eye cams</t>
  </si>
  <si>
    <t>videoplayer</t>
  </si>
  <si>
    <t>S</t>
  </si>
  <si>
    <t>Sends frames out O, sound out S</t>
  </si>
  <si>
    <t>play/pause controls, drag-n-drop a file onto it, loop button</t>
  </si>
  <si>
    <t>videorecord</t>
  </si>
  <si>
    <t>Vid(opt)</t>
  </si>
  <si>
    <t>Snd(opt)</t>
  </si>
  <si>
    <t>Filepicker button</t>
  </si>
  <si>
    <t>spectrum</t>
  </si>
  <si>
    <t>dancing spectrum display</t>
  </si>
  <si>
    <t>output frame each time updated</t>
  </si>
  <si>
    <t>Allows user to draw 'noodles' in varying colors like simple paint program</t>
  </si>
  <si>
    <t>viewer</t>
  </si>
  <si>
    <t>displays image</t>
  </si>
  <si>
    <t>image display</t>
  </si>
  <si>
    <t>kernal</t>
  </si>
  <si>
    <t>matrix of cells, size selector, edge handling dropdown</t>
  </si>
  <si>
    <t>body</t>
  </si>
  <si>
    <t>bodymask</t>
  </si>
  <si>
    <t>output is a vector of booleans for joints</t>
  </si>
  <si>
    <t>Shows image of robot with checkboxes for each joint</t>
  </si>
  <si>
    <t>bodyposition</t>
  </si>
  <si>
    <t>output is a vector of joint positions from physivcal bot</t>
  </si>
  <si>
    <t>bodypossim</t>
  </si>
  <si>
    <t>as per bodyposition but from the simulator</t>
  </si>
  <si>
    <t>motors</t>
  </si>
  <si>
    <t>Mask</t>
  </si>
  <si>
    <t>Send channels of vector A matching Mask to robot servos</t>
  </si>
  <si>
    <t>motorsim</t>
  </si>
  <si>
    <t>As per motors, but to simulator</t>
  </si>
  <si>
    <t>CV</t>
  </si>
  <si>
    <t>Image Processing</t>
  </si>
  <si>
    <t>black</t>
  </si>
  <si>
    <t>outputs a solid black frame the camera size</t>
  </si>
  <si>
    <t>white</t>
  </si>
  <si>
    <t>outputs a solid white frame the camera size</t>
  </si>
  <si>
    <t>threshold</t>
  </si>
  <si>
    <t>Thresh</t>
  </si>
  <si>
    <t>out is mask with black in areas above threshold</t>
  </si>
  <si>
    <t>gray</t>
  </si>
  <si>
    <t>desaturates an image andoutputs grayscale image</t>
  </si>
  <si>
    <t>hdr</t>
  </si>
  <si>
    <t>converts image to high dynamic range from RGB or gray</t>
  </si>
  <si>
    <t>dehdr</t>
  </si>
  <si>
    <t>converts HDR image to RGB</t>
  </si>
  <si>
    <t>channels</t>
  </si>
  <si>
    <t>R</t>
  </si>
  <si>
    <t>G</t>
  </si>
  <si>
    <t>A(opt)</t>
  </si>
  <si>
    <t>takes 3 grayscale images and an optional mask or grayscale image and produces an RGB/RGBA image</t>
  </si>
  <si>
    <t>aschannels</t>
  </si>
  <si>
    <t>takes an RGB image and produces 3 grayscale images, one for each channel</t>
  </si>
  <si>
    <t>pixel</t>
  </si>
  <si>
    <t>M(opt)</t>
  </si>
  <si>
    <t>as func, but has three formula boxes. Each one knows about r,g,b,m variables. Runs this formula for each pixel in image.</t>
  </si>
  <si>
    <t>3 formula boxes</t>
  </si>
  <si>
    <t>adaptivehistoequal</t>
  </si>
  <si>
    <t>Prop</t>
  </si>
  <si>
    <t>Block</t>
  </si>
  <si>
    <t>apply adaptive histogram equalization with blocksize Block and proportion Prop</t>
  </si>
  <si>
    <t>composite</t>
  </si>
  <si>
    <t>Output is A where Mask is white and B where it is black, and proportional mix in between</t>
  </si>
  <si>
    <t>convolve</t>
  </si>
  <si>
    <t>Kernal</t>
  </si>
  <si>
    <t>FrequencyDomain</t>
  </si>
  <si>
    <t>fft</t>
  </si>
  <si>
    <t>Output is the forward fourier transform as complex16</t>
  </si>
  <si>
    <t>number</t>
  </si>
  <si>
    <t>any non-zero scalar is true</t>
  </si>
  <si>
    <t>int</t>
  </si>
  <si>
    <t>vector</t>
  </si>
  <si>
    <t>.</t>
  </si>
  <si>
    <t>2d</t>
  </si>
  <si>
    <t>homogeneous</t>
  </si>
  <si>
    <t>3d</t>
  </si>
  <si>
    <t>matrix</t>
  </si>
  <si>
    <t>intrinsics</t>
  </si>
  <si>
    <t>image</t>
  </si>
  <si>
    <t>mask</t>
  </si>
  <si>
    <t>segmented</t>
  </si>
  <si>
    <t>rgb</t>
  </si>
  <si>
    <t>complex16</t>
  </si>
  <si>
    <t>opticalflow</t>
  </si>
  <si>
    <t>fourier</t>
  </si>
  <si>
    <t>depthmap</t>
  </si>
  <si>
    <t>has the matrix and an edge handling code</t>
  </si>
  <si>
    <t>joints</t>
  </si>
  <si>
    <t>sample</t>
  </si>
  <si>
    <t>mono</t>
  </si>
  <si>
    <t>stereo</t>
  </si>
  <si>
    <t>nchannel</t>
  </si>
  <si>
    <t>buffer</t>
  </si>
  <si>
    <t>some ill defined buffer segment</t>
  </si>
  <si>
    <t>inv_fft</t>
  </si>
  <si>
    <t>Input is the ft spectrum as complex16, Output is the inverse fourier transform as gray</t>
  </si>
  <si>
    <t>Records frames to file. Figures out what to record from filetype and what\'s connected.</t>
  </si>
  <si>
    <t>draw_tool</t>
  </si>
  <si>
    <t>input types</t>
  </si>
  <si>
    <t>Output Types</t>
  </si>
  <si>
    <t>C</t>
  </si>
  <si>
    <t>D</t>
  </si>
  <si>
    <t>float value that varies over -inf to +inf</t>
  </si>
  <si>
    <t>object</t>
  </si>
  <si>
    <t>string</t>
  </si>
  <si>
    <t>jointmask</t>
  </si>
  <si>
    <t>copy this column for prolog, substitute &lt;&gt; with newline</t>
  </si>
  <si>
    <t>Constructor</t>
  </si>
  <si>
    <t>static call</t>
  </si>
  <si>
    <t>FloRT.ifvar</t>
  </si>
  <si>
    <t>builtin</t>
  </si>
  <si>
    <t>kernal UI for defining kernals</t>
  </si>
  <si>
    <t>FloRT.if(Cond, A, B, O)</t>
  </si>
  <si>
    <t>FloRT.black($O);</t>
  </si>
  <si>
    <t>FloRT.white($O);</t>
  </si>
  <si>
    <t>Imgproc.adaptiveThreshold($A, $O, 255.0, ADAPTIVE_THRESH_MEAN_C, 3, $Thresh);</t>
  </si>
  <si>
    <t>Imgproc.cvtColor($A, $O, COLOR_BGR2GRAY);</t>
  </si>
  <si>
    <t>zoom</t>
  </si>
  <si>
    <t>view</t>
  </si>
  <si>
    <t>pan</t>
  </si>
  <si>
    <t>recenter</t>
  </si>
  <si>
    <t>file</t>
  </si>
  <si>
    <t>load</t>
  </si>
  <si>
    <t>save</t>
  </si>
  <si>
    <t>new</t>
  </si>
  <si>
    <t>select</t>
  </si>
  <si>
    <t>move</t>
  </si>
  <si>
    <t>duplicate</t>
  </si>
  <si>
    <t>copy</t>
  </si>
  <si>
    <t>paste</t>
  </si>
  <si>
    <t>cut</t>
  </si>
  <si>
    <t>undo</t>
  </si>
  <si>
    <t>redo</t>
  </si>
  <si>
    <t>quit</t>
  </si>
  <si>
    <t>create block</t>
  </si>
  <si>
    <t>create pipe</t>
  </si>
  <si>
    <t>create blocktype</t>
  </si>
  <si>
    <t>move blocktype in hierarchy</t>
  </si>
  <si>
    <t>create same type block</t>
  </si>
  <si>
    <t>error</t>
  </si>
  <si>
    <t>display error</t>
  </si>
  <si>
    <t>move one block, keeping connex, in one motion</t>
  </si>
  <si>
    <t>move a group of selected blocks</t>
  </si>
  <si>
    <t>delete</t>
  </si>
  <si>
    <t>delete a block</t>
  </si>
  <si>
    <t>delete a pipe</t>
  </si>
  <si>
    <t>create one of n frequently used blocks</t>
  </si>
  <si>
    <t>info</t>
  </si>
  <si>
    <t>display current flo graph</t>
  </si>
  <si>
    <t>display current flotypes graph</t>
  </si>
  <si>
    <t>inspect</t>
  </si>
  <si>
    <t>way to expand display of a block</t>
  </si>
  <si>
    <t>maybe 'flick'?</t>
  </si>
  <si>
    <t>autoscroll</t>
  </si>
  <si>
    <t>any drag operation</t>
  </si>
  <si>
    <t>enter values in text boxes</t>
  </si>
  <si>
    <t>drag sliders</t>
  </si>
  <si>
    <t>data entry</t>
  </si>
  <si>
    <t>way to check block type (tooltip?) with more info</t>
  </si>
  <si>
    <t>connector</t>
  </si>
  <si>
    <t>pipe</t>
  </si>
  <si>
    <t>drbend</t>
  </si>
  <si>
    <t>any</t>
  </si>
  <si>
    <t>bidi pipe connection</t>
  </si>
  <si>
    <t>bidi</t>
  </si>
  <si>
    <t>FloRT.bidi($A, $O);</t>
  </si>
  <si>
    <t>icon_sheet</t>
  </si>
  <si>
    <t>icon_i</t>
  </si>
  <si>
    <t>icon_j</t>
  </si>
  <si>
    <t>icon_i_size</t>
  </si>
  <si>
    <t>icon_j_size</t>
  </si>
  <si>
    <t>dlbend</t>
  </si>
  <si>
    <t>horpipe</t>
  </si>
  <si>
    <t>cross</t>
  </si>
  <si>
    <t>OA</t>
  </si>
  <si>
    <t>OB</t>
  </si>
  <si>
    <t>urbend</t>
  </si>
  <si>
    <t>ulbend</t>
  </si>
  <si>
    <t>distributor</t>
  </si>
  <si>
    <t>OC</t>
  </si>
  <si>
    <t>mouse wheel</t>
  </si>
  <si>
    <t>ctrl space</t>
  </si>
  <si>
    <t>strictly on any drag that exits the main window</t>
  </si>
  <si>
    <t>Right menu</t>
  </si>
  <si>
    <t>extend select</t>
  </si>
  <si>
    <t>drag select</t>
  </si>
  <si>
    <t>all controls show up in a panel, tab or click in panel to focus there</t>
  </si>
  <si>
    <t>L</t>
  </si>
  <si>
    <t>M</t>
  </si>
  <si>
    <t>Wheel</t>
  </si>
  <si>
    <t>plain</t>
  </si>
  <si>
    <t>grabber pan</t>
  </si>
  <si>
    <t>key</t>
  </si>
  <si>
    <t>c-space</t>
  </si>
  <si>
    <t>last screen</t>
  </si>
  <si>
    <t>shift</t>
  </si>
  <si>
    <t>not now</t>
  </si>
  <si>
    <t>c-C</t>
  </si>
  <si>
    <t>c-V</t>
  </si>
  <si>
    <t>c-X</t>
  </si>
  <si>
    <t>c-Z</t>
  </si>
  <si>
    <t>c-Y</t>
  </si>
  <si>
    <t>bigscreen</t>
  </si>
  <si>
    <t>shift select - it's box selection</t>
  </si>
  <si>
    <t>imagename</t>
  </si>
  <si>
    <t>blocksheet0-_02.png</t>
  </si>
  <si>
    <t>blocksheet0-_03.png</t>
  </si>
  <si>
    <t>blocksheet0-_04.png</t>
  </si>
  <si>
    <t>blocksheet0-_05.png</t>
  </si>
  <si>
    <t>blocksheet0-_14.png</t>
  </si>
  <si>
    <t>blocksheet0-_11.png</t>
  </si>
  <si>
    <t>blocksheet0-_09.png</t>
  </si>
  <si>
    <t>vertpipe</t>
  </si>
  <si>
    <t>protocoords</t>
  </si>
  <si>
    <t>blocksheet1_01.png</t>
  </si>
  <si>
    <t>blocksheet1_02.png</t>
  </si>
  <si>
    <t>blocksheet1_03.png</t>
  </si>
  <si>
    <t>blocksheet1_04.png</t>
  </si>
  <si>
    <t>blocksheet1_05.png</t>
  </si>
  <si>
    <t>blocksheet1_06.png</t>
  </si>
  <si>
    <t>blocksheet1_07.png</t>
  </si>
  <si>
    <t>blocksheet1_09.png</t>
  </si>
  <si>
    <t>blocksheet1_13.png</t>
  </si>
  <si>
    <t>blocksheet1_14.png</t>
  </si>
  <si>
    <t>blocksheet1_10.png</t>
  </si>
  <si>
    <t>blocksheet1_15.png</t>
  </si>
  <si>
    <t>blocksheet1_11.png</t>
  </si>
  <si>
    <t>blocksheet1_16.png</t>
  </si>
  <si>
    <t>blocksheet1_17.png</t>
  </si>
  <si>
    <t>blocksheet0-_08.png</t>
  </si>
  <si>
    <t>blocksheet0-_21.png</t>
  </si>
  <si>
    <t>blocksheet0-_33.png</t>
  </si>
  <si>
    <t>blocksheet0-_18.png</t>
  </si>
  <si>
    <t>blocksheet0-_15.png</t>
  </si>
  <si>
    <t>blocksheet0-_29.png</t>
  </si>
  <si>
    <t>blocksheet0-_32.png</t>
  </si>
  <si>
    <t>blocksheet0-_31.png</t>
  </si>
  <si>
    <t>name</t>
  </si>
  <si>
    <t>combining</t>
  </si>
  <si>
    <t>imgadd</t>
  </si>
  <si>
    <t>Ox = (Ax+Bx), for each channel x in the image (r,g,b, or grey)</t>
  </si>
  <si>
    <t>imgmax</t>
  </si>
  <si>
    <t>takes the channel values from whichever image has R+G+B greatest</t>
  </si>
  <si>
    <t>% = FloFlipFlop.newFlipFlop();</t>
  </si>
  <si>
    <t>FloRT.if($Cond, $A, $B, #O);</t>
  </si>
  <si>
    <t>%.pulse(#O);</t>
  </si>
  <si>
    <t>FloRT.isolate($A, $Default, #O);</t>
  </si>
  <si>
    <t>Name</t>
  </si>
  <si>
    <t>% = FloInput($Name);</t>
  </si>
  <si>
    <t>FloRT.input(%, #O);</t>
  </si>
  <si>
    <t>% = FloOutput($Name);</t>
  </si>
  <si>
    <t>FloRT.output($A, %, $Name);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</si>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</sst>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2" borderId="0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6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5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7" xfId="0" applyFill="1" applyBorder="1" applyAlignment="1">
      <alignment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7"/>
  <sheetViews>
    <sheetView tabSelected="1" topLeftCell="D1" zoomScale="90" zoomScaleNormal="90" workbookViewId="0">
      <pane xSplit="11835" ySplit="495" topLeftCell="AS1" activePane="bottomLeft"/>
      <selection activeCell="AT43" sqref="AT43"/>
      <selection pane="topRight" activeCell="BE1" sqref="BE1"/>
      <selection pane="bottomLeft" activeCell="J11" sqref="J11"/>
      <selection pane="bottomRight" activeCell="AS11" sqref="AS11"/>
    </sheetView>
  </sheetViews>
  <sheetFormatPr defaultColWidth="17.140625" defaultRowHeight="12.75" customHeight="1" x14ac:dyDescent="0.2"/>
  <cols>
    <col min="1" max="2" width="17.140625" style="2"/>
    <col min="3" max="3" width="12.85546875" style="1" bestFit="1" customWidth="1"/>
    <col min="4" max="4" width="9" style="1" customWidth="1"/>
    <col min="5" max="5" width="17.140625" style="2"/>
    <col min="6" max="9" width="8.5703125" style="2" customWidth="1"/>
    <col min="10" max="10" width="12" style="2" bestFit="1" customWidth="1"/>
    <col min="11" max="11" width="9.7109375" style="2" customWidth="1"/>
    <col min="12" max="12" width="9.28515625" style="2" customWidth="1"/>
    <col min="13" max="13" width="10" style="2" customWidth="1"/>
    <col min="14" max="15" width="5.85546875" style="2" customWidth="1"/>
    <col min="16" max="16" width="5.85546875" style="3" customWidth="1"/>
    <col min="17" max="17" width="13.28515625" style="2" customWidth="1"/>
    <col min="18" max="19" width="10.7109375" style="2" customWidth="1"/>
    <col min="20" max="20" width="46.140625" style="2" customWidth="1"/>
    <col min="21" max="21" width="25.7109375" style="2" customWidth="1"/>
    <col min="22" max="25" width="15" style="9" customWidth="1"/>
    <col min="26" max="26" width="32.140625" customWidth="1"/>
    <col min="27" max="29" width="6.7109375" customWidth="1"/>
    <col min="31" max="31" width="32.7109375" customWidth="1"/>
    <col min="34" max="34" width="36.140625" customWidth="1"/>
    <col min="35" max="37" width="9.85546875" customWidth="1"/>
    <col min="38" max="38" width="9" style="11" customWidth="1"/>
    <col min="39" max="39" width="8.28515625" customWidth="1"/>
    <col min="40" max="40" width="8.5703125" customWidth="1"/>
    <col min="41" max="41" width="9.42578125" style="11" customWidth="1"/>
    <col min="42" max="42" width="24" customWidth="1"/>
    <col min="45" max="45" width="29.28515625" customWidth="1"/>
    <col min="46" max="46" width="87.7109375" customWidth="1"/>
    <col min="54" max="54" width="21.28515625" customWidth="1"/>
    <col min="57" max="57" width="41.28515625" customWidth="1"/>
  </cols>
  <sheetData>
    <row r="1" spans="1:57" ht="14.25" customHeight="1" x14ac:dyDescent="0.2">
      <c r="A1" s="2" t="s">
        <v>0</v>
      </c>
      <c r="F1" s="23" t="s">
        <v>1</v>
      </c>
      <c r="G1" s="23"/>
      <c r="H1" s="23"/>
      <c r="I1" s="23"/>
      <c r="J1" s="23" t="s">
        <v>156</v>
      </c>
      <c r="K1" s="23"/>
      <c r="L1" s="23"/>
      <c r="M1" s="23"/>
      <c r="N1" s="23" t="s">
        <v>2</v>
      </c>
      <c r="O1" s="23"/>
      <c r="P1" s="23"/>
      <c r="Q1" s="23" t="s">
        <v>157</v>
      </c>
      <c r="R1" s="23"/>
      <c r="S1" s="23"/>
      <c r="T1" s="2" t="s">
        <v>3</v>
      </c>
      <c r="U1" s="2" t="s">
        <v>4</v>
      </c>
      <c r="AS1" t="s">
        <v>165</v>
      </c>
      <c r="AT1" t="s">
        <v>166</v>
      </c>
      <c r="AU1" t="s">
        <v>168</v>
      </c>
      <c r="AV1" t="s">
        <v>218</v>
      </c>
      <c r="AW1" t="s">
        <v>224</v>
      </c>
      <c r="AX1" t="s">
        <v>225</v>
      </c>
      <c r="AY1" t="s">
        <v>226</v>
      </c>
      <c r="AZ1" t="s">
        <v>227</v>
      </c>
      <c r="BA1" t="s">
        <v>228</v>
      </c>
      <c r="BB1" t="s">
        <v>262</v>
      </c>
      <c r="BC1" s="24" t="s">
        <v>271</v>
      </c>
      <c r="BD1" s="24"/>
      <c r="BE1" t="s">
        <v>164</v>
      </c>
    </row>
    <row r="2" spans="1:57" ht="14.25" customHeight="1" x14ac:dyDescent="0.2">
      <c r="A2" s="2" t="s">
        <v>5</v>
      </c>
      <c r="C2" s="1" t="str">
        <f t="shared" ref="C2:C33" si="0">IF(ISBLANK(A2),C1,A2)</f>
        <v>Control</v>
      </c>
      <c r="D2" s="1" t="str">
        <f t="shared" ref="D2:D33" si="1">IF(NOT(ISBLANK(B2)), B2, IF(ISBLANK(A2), D1,A2))</f>
        <v>Control</v>
      </c>
      <c r="I2" s="3"/>
      <c r="J2" s="10"/>
      <c r="K2" s="10"/>
      <c r="L2" s="10"/>
      <c r="M2" s="10"/>
      <c r="N2" s="4"/>
    </row>
    <row r="3" spans="1:57" ht="14.25" customHeight="1" x14ac:dyDescent="0.2">
      <c r="C3" s="1" t="str">
        <f t="shared" si="0"/>
        <v>Control</v>
      </c>
      <c r="D3" s="1" t="str">
        <f t="shared" si="1"/>
        <v>Control</v>
      </c>
      <c r="E3" s="2" t="s">
        <v>6</v>
      </c>
      <c r="F3" s="2" t="s">
        <v>7</v>
      </c>
      <c r="G3" s="2" t="s">
        <v>8</v>
      </c>
      <c r="H3" s="2" t="s">
        <v>9</v>
      </c>
      <c r="I3" s="3"/>
      <c r="J3" s="10" t="s">
        <v>33</v>
      </c>
      <c r="K3" s="10" t="s">
        <v>161</v>
      </c>
      <c r="L3" s="10" t="s">
        <v>161</v>
      </c>
      <c r="M3" s="10"/>
      <c r="N3" s="4" t="s">
        <v>10</v>
      </c>
      <c r="Q3" s="2" t="s">
        <v>161</v>
      </c>
      <c r="T3" s="2" t="s">
        <v>11</v>
      </c>
      <c r="V3" s="9" t="str">
        <f>"["&amp;IF(RIGHT(F3,5)="(opt)","optional('"&amp;LEFT(F3,LEN(F3)-5)&amp;"')",IF(ISBLANK(F3),"","required('"&amp;F3&amp;"')"))</f>
        <v>[required('Cond')</v>
      </c>
      <c r="W3" s="9" t="str">
        <f>IF(RIGHT(G3,5)="(opt)",", optional('"&amp;LEFT(G3, LEN(G3)-5)&amp;"')",IF(ISBLANK(G3),"",", required('"&amp;G3&amp;"')"))</f>
        <v>, required('A')</v>
      </c>
      <c r="X3" s="9" t="str">
        <f>IF(RIGHT(H3,5)="(opt)",", optional('"&amp;LEFT(H3, LEN(H3)-5)&amp;"')",IF(ISBLANK(H3),"",", required('"&amp;H3&amp;"')"))</f>
        <v>, required('B')</v>
      </c>
      <c r="Y3" s="9" t="str">
        <f>IF(RIGHT(I3,5)="(opt)",", optional('"&amp;LEFT(I3, LEN(I3)-5)&amp;"')",IF(ISBLANK(I3),"",", required('"&amp;I3&amp;"')"))</f>
        <v/>
      </c>
      <c r="Z3" t="str">
        <f>V3&amp;W3&amp;X3&amp;"]"</f>
        <v>[required('Cond'), required('A'), required('B')]</v>
      </c>
      <c r="AA3" s="1" t="str">
        <f>"["&amp;IF(ISBLANK(N3),"", "'"&amp;N3&amp;"'")</f>
        <v>['O'</v>
      </c>
      <c r="AB3" t="str">
        <f>IF(ISBLANK(O3),"",", '"&amp;O3&amp;"'")</f>
        <v/>
      </c>
      <c r="AC3" t="str">
        <f>IF(ISBLANK(P3),"",", '"&amp;P3&amp;"'")</f>
        <v/>
      </c>
      <c r="AD3" t="str">
        <f>AA3&amp;AB3&amp;AC3&amp;"]"</f>
        <v>['O']</v>
      </c>
      <c r="AE3" t="str">
        <f>IF(ISBLANK(E3),"","section("&amp;E3&amp;", '"&amp;C3&amp;"').&lt;&gt;subsection("&amp;E3&amp;", '"&amp;D3&amp;"').&lt;&gt;description("&amp;E3&amp;", '"&amp;T3&amp;"').&lt;&gt;visual_style("&amp;E3&amp;",  "&amp;IF(ISBLANK(U3),"normal",AF3))</f>
        <v>section(if, 'Control').&lt;&gt;subsection(if, 'Control').&lt;&gt;description(if, 'If Cond is true, O is A, else O is B').&lt;&gt;visual_style(if,  normal</v>
      </c>
      <c r="AF3" t="str">
        <f>"visual_style"&amp;AG3</f>
        <v>visual_style0</v>
      </c>
      <c r="AG3">
        <v>0</v>
      </c>
      <c r="AH3" t="str">
        <f>IF(ISBLANK(E3),"","&lt;&gt;%  ===== "&amp;E3&amp;" ===========&lt;&gt;"&amp;AE3&amp;").&lt;&gt;inputs("&amp;E3&amp;", "&amp;Z3&amp;").&lt;&gt;outputs("&amp;E3&amp;", "&amp;AD3&amp;").&lt;&gt;input_types("&amp;E3&amp;", "&amp;AP3&amp;").&lt;&gt;output_types("&amp;E3&amp;", "&amp;AQ3&amp;").&lt;&gt;"&amp;IF(OR(ISBLANK(E3),ISBLANK(BB3)),"","image_name("&amp;E3&amp;", '/img/blocks/"&amp;BB3&amp;"').&lt;&gt;"))</f>
        <v>&lt;&gt;%  ===== if ===========&lt;&gt;section(if, 'Control').&lt;&gt;subsection(if, 'Control').&lt;&gt;description(if, 'If Cond is true, O is A, else O is B').&lt;&gt;visual_style(if,  normal).&lt;&gt;inputs(if, [required('Cond'), required('A'), required('B')]).&lt;&gt;outputs(if, ['O']).&lt;&gt;input_types(if, [scalar, object, object]).&lt;&gt;output_types(if, [object]).&lt;&gt;image_name(if, '/img/blocks/blocksheet0-_21.png').&lt;&gt;</v>
      </c>
      <c r="AI3" t="str">
        <f>IF(ISBLANK(J3),"[","["&amp;J3)</f>
        <v>[scalar</v>
      </c>
      <c r="AJ3" t="str">
        <f>IF(ISBLANK(K3), "", ", "&amp;K3)</f>
        <v>, object</v>
      </c>
      <c r="AK3" t="str">
        <f t="shared" ref="AK3:AL3" si="2">IF(ISBLANK(L3), "", ", "&amp;L3)</f>
        <v>, object</v>
      </c>
      <c r="AL3" s="11" t="str">
        <f t="shared" si="2"/>
        <v/>
      </c>
      <c r="AM3" t="str">
        <f>IF(ISBLANK(Q3),"[","["&amp;Q3)</f>
        <v>[object</v>
      </c>
      <c r="AN3" t="str">
        <f>IF(ISBLANK(R3), "", ", "&amp;R3)</f>
        <v/>
      </c>
      <c r="AO3" s="11" t="str">
        <f>IF(ISBLANK(S3), "", ", "&amp;S3)</f>
        <v/>
      </c>
      <c r="AP3" t="str">
        <f>AI3&amp;AJ3&amp;AK3&amp;AL3&amp;"]"</f>
        <v>[scalar, object, object]</v>
      </c>
      <c r="AQ3" t="str">
        <f>AM3&amp;AN3&amp;AO3&amp;"]"</f>
        <v>[object]</v>
      </c>
      <c r="AT3" t="s">
        <v>302</v>
      </c>
      <c r="AW3">
        <v>0</v>
      </c>
      <c r="AX3">
        <v>0</v>
      </c>
      <c r="AY3">
        <v>2</v>
      </c>
      <c r="AZ3">
        <v>1</v>
      </c>
      <c r="BA3">
        <v>1</v>
      </c>
      <c r="BB3" t="s">
        <v>288</v>
      </c>
      <c r="BC3">
        <v>22</v>
      </c>
      <c r="BD3">
        <v>0</v>
      </c>
      <c r="BE3" t="str">
        <f>AH3&amp;IF(OR(ISBLANK(E3),ISBLANK(BC3)), "", "prototype_coordinates("&amp;E3&amp;", "&amp;BC3&amp;", "&amp;BD3&amp;").&lt;&gt;icon_size("&amp;E3&amp;", "&amp;AZ3&amp;", "&amp;BA3&amp;").&lt;&gt;")</f>
        <v>&lt;&gt;%  ===== if ===========&lt;&gt;section(if, 'Control').&lt;&gt;subsection(if, 'Control').&lt;&gt;description(if, 'If Cond is true, O is A, else O is B').&lt;&gt;visual_style(if,  normal).&lt;&gt;inputs(if, [required('Cond'), required('A'), required('B')]).&lt;&gt;outputs(if, ['O']).&lt;&gt;input_types(if, [scalar, object, object]).&lt;&gt;output_types(if, [object]).&lt;&gt;image_name(if, '/img/blocks/blocksheet0-_21.png').&lt;&gt;prototype_coordinates(if, 22, 0).&lt;&gt;icon_size(if, 1, 1).&lt;&gt;</v>
      </c>
    </row>
    <row r="4" spans="1:57" ht="14.25" customHeight="1" x14ac:dyDescent="0.2">
      <c r="C4" s="1" t="str">
        <f t="shared" si="0"/>
        <v>Control</v>
      </c>
      <c r="D4" s="1" t="str">
        <f t="shared" si="1"/>
        <v>Control</v>
      </c>
      <c r="E4" s="2" t="s">
        <v>12</v>
      </c>
      <c r="F4" s="2" t="s">
        <v>7</v>
      </c>
      <c r="G4" s="2" t="s">
        <v>8</v>
      </c>
      <c r="H4" s="2" t="s">
        <v>9</v>
      </c>
      <c r="I4" s="3"/>
      <c r="J4" s="10" t="s">
        <v>162</v>
      </c>
      <c r="K4" s="10" t="s">
        <v>161</v>
      </c>
      <c r="L4" s="10" t="s">
        <v>161</v>
      </c>
      <c r="M4" s="10"/>
      <c r="N4" s="4" t="s">
        <v>10</v>
      </c>
      <c r="Q4" s="2" t="s">
        <v>161</v>
      </c>
      <c r="T4" s="2" t="s">
        <v>13</v>
      </c>
      <c r="V4" s="9" t="str">
        <f t="shared" ref="V4:V63" si="3">"["&amp;IF(RIGHT(F4,5)="(opt)","optional('"&amp;LEFT(F4,LEN(F4)-5)&amp;"')",IF(ISBLANK(F4),"","required('"&amp;F4&amp;"')"))</f>
        <v>[required('Cond')</v>
      </c>
      <c r="W4" s="9" t="str">
        <f t="shared" ref="W4:W62" si="4">IF(RIGHT(G4,5)="(opt)",", optional('"&amp;LEFT(G4, LEN(G4)-5)&amp;"')",IF(ISBLANK(G4),"",", required('"&amp;G4&amp;"')"))</f>
        <v>, required('A')</v>
      </c>
      <c r="X4" s="9" t="str">
        <f t="shared" ref="X4:X62" si="5">IF(RIGHT(H4,5)="(opt)",", optional('"&amp;LEFT(H4, LEN(H4)-5)&amp;"')",IF(ISBLANK(H4),"",", required('"&amp;H4&amp;"')"))</f>
        <v>, required('B')</v>
      </c>
      <c r="Y4" s="9" t="str">
        <f t="shared" ref="Y4:Y62" si="6">IF(RIGHT(I4,5)="(opt)",", optional('"&amp;LEFT(I4, LEN(I4)-5)&amp;"')",IF(ISBLANK(I4),"",", required('"&amp;I4&amp;"')"))</f>
        <v/>
      </c>
      <c r="Z4" t="str">
        <f t="shared" ref="Z4:Z76" si="7">V4&amp;W4&amp;X4&amp;"]"</f>
        <v>[required('Cond'), required('A'), required('B')]</v>
      </c>
      <c r="AA4" s="1" t="str">
        <f t="shared" ref="AA4:AA63" si="8">"["&amp;IF(ISBLANK(N4),"", "'"&amp;N4&amp;"'")</f>
        <v>['O'</v>
      </c>
      <c r="AB4" t="str">
        <f t="shared" ref="AB4:AB62" si="9">IF(ISBLANK(O4),"",", '"&amp;O4&amp;"'")</f>
        <v/>
      </c>
      <c r="AC4" t="str">
        <f t="shared" ref="AC4:AC62" si="10">IF(ISBLANK(P4),"",", '"&amp;P4&amp;"'")</f>
        <v/>
      </c>
      <c r="AD4" t="str">
        <f t="shared" ref="AD4:AD62" si="11">AA4&amp;AB4&amp;AC4&amp;"]"</f>
        <v>['O']</v>
      </c>
      <c r="AE4" t="str">
        <f t="shared" ref="AE4:AE62" si="12">IF(ISBLANK(E4),"","section("&amp;E4&amp;", '"&amp;C4&amp;"').&lt;&gt;subsection("&amp;E4&amp;", '"&amp;D4&amp;"').&lt;&gt;description("&amp;E4&amp;", '"&amp;T4&amp;"').&lt;&gt;visual_style("&amp;E4&amp;",  "&amp;IF(ISBLANK(U4),"normal",AF4))</f>
        <v>section(ifvar, 'Control').&lt;&gt;subsection(ifvar, 'Control').&lt;&gt;description(ifvar, 'If the value of Va is true, O is A, else O is B. Var is some compile time variable (eg. DEV for development version).').&lt;&gt;visual_style(ifvar,  normal</v>
      </c>
      <c r="AF4" t="str">
        <f t="shared" ref="AF4:AF76" si="13">"visual_style"&amp;AG4</f>
        <v>visual_style0</v>
      </c>
      <c r="AG4">
        <f>IF(ISBLANK(U3),AG3,AG3+1)</f>
        <v>0</v>
      </c>
      <c r="AH4" t="str">
        <f t="shared" ref="AH4:AH67" si="14">IF(ISBLANK(E4),"","&lt;&gt;%  ===== "&amp;E4&amp;" ===========&lt;&gt;"&amp;AE4&amp;").&lt;&gt;inputs("&amp;E4&amp;", "&amp;Z4&amp;").&lt;&gt;outputs("&amp;E4&amp;", "&amp;AD4&amp;").&lt;&gt;input_types("&amp;E4&amp;", "&amp;AP4&amp;").&lt;&gt;output_types("&amp;E4&amp;", "&amp;AQ4&amp;").&lt;&gt;"&amp;IF(OR(ISBLANK(E4),ISBLANK(BB4)),"","image_name("&amp;E4&amp;", '/img/blocks/"&amp;BB4&amp;"').&lt;&gt;"))</f>
        <v>&lt;&gt;%  ===== ifvar ===========&lt;&gt;section(ifvar, 'Control').&lt;&gt;subsection(ifvar, 'Control').&lt;&gt;description(ifvar, 'If the value of Va is true, O is A, else O is B. Var is some compile time variable (eg. DEV for development version).').&lt;&gt;visual_style(ifvar,  normal).&lt;&gt;inputs(ifvar, [required('Cond'), required('A'), required('B')]).&lt;&gt;outputs(ifvar, ['O']).&lt;&gt;input_types(ifvar, [string, object, object]).&lt;&gt;output_types(ifvar, [object]).&lt;&gt;image_name(ifvar, '/img/blocks/blocksheet0-_33.png').&lt;&gt;</v>
      </c>
      <c r="AI4" t="str">
        <f t="shared" ref="AI4:AI63" si="15">IF(ISBLANK(J4),"[","["&amp;J4)</f>
        <v>[string</v>
      </c>
      <c r="AJ4" t="str">
        <f t="shared" ref="AJ4:AJ63" si="16">IF(ISBLANK(K4), "", ", "&amp;K4)</f>
        <v>, object</v>
      </c>
      <c r="AK4" t="str">
        <f t="shared" ref="AK4:AK63" si="17">IF(ISBLANK(L4), "", ", "&amp;L4)</f>
        <v>, object</v>
      </c>
      <c r="AL4" s="11" t="str">
        <f t="shared" ref="AL4:AL63" si="18">IF(ISBLANK(M4), "", ", "&amp;M4)</f>
        <v/>
      </c>
      <c r="AM4" t="str">
        <f t="shared" ref="AM4:AM63" si="19">IF(ISBLANK(Q4),"[","["&amp;Q4)</f>
        <v>[object</v>
      </c>
      <c r="AN4" t="str">
        <f t="shared" ref="AN4:AN63" si="20">IF(ISBLANK(R4), "", ", "&amp;R4)</f>
        <v/>
      </c>
      <c r="AO4" s="11" t="str">
        <f t="shared" ref="AO4:AO63" si="21">IF(ISBLANK(S4), "", ", "&amp;S4)</f>
        <v/>
      </c>
      <c r="AP4" t="str">
        <f t="shared" ref="AP4:AP63" si="22">AI4&amp;AJ4&amp;AK4&amp;AL4&amp;"]"</f>
        <v>[string, object, object]</v>
      </c>
      <c r="AQ4" t="str">
        <f t="shared" ref="AQ4:AQ63" si="23">AM4&amp;AN4&amp;AO4&amp;"]"</f>
        <v>[object]</v>
      </c>
      <c r="AT4" t="s">
        <v>302</v>
      </c>
      <c r="AW4">
        <v>0</v>
      </c>
      <c r="AX4">
        <v>1</v>
      </c>
      <c r="AY4">
        <v>2</v>
      </c>
      <c r="AZ4">
        <v>1</v>
      </c>
      <c r="BA4">
        <v>1</v>
      </c>
      <c r="BB4" t="s">
        <v>289</v>
      </c>
      <c r="BC4">
        <v>22</v>
      </c>
      <c r="BD4">
        <v>1</v>
      </c>
      <c r="BE4" t="str">
        <f t="shared" ref="BE4:BE67" si="24">AH4&amp;IF(OR(ISBLANK(E4),ISBLANK(BC4)), "", "prototype_coordinates("&amp;E4&amp;", "&amp;BC4&amp;", "&amp;BD4&amp;").&lt;&gt;icon_size("&amp;E4&amp;", "&amp;AZ4&amp;", "&amp;BA4&amp;").&lt;&gt;")</f>
        <v>&lt;&gt;%  ===== ifvar ===========&lt;&gt;section(ifvar, 'Control').&lt;&gt;subsection(ifvar, 'Control').&lt;&gt;description(ifvar, 'If the value of Va is true, O is A, else O is B. Var is some compile time variable (eg. DEV for development version).').&lt;&gt;visual_style(ifvar,  normal).&lt;&gt;inputs(ifvar, [required('Cond'), required('A'), required('B')]).&lt;&gt;outputs(ifvar, ['O']).&lt;&gt;input_types(ifvar, [string, object, object]).&lt;&gt;output_types(ifvar, [object]).&lt;&gt;image_name(ifvar, '/img/blocks/blocksheet0-_33.png').&lt;&gt;prototype_coordinates(ifvar, 22, 1).&lt;&gt;icon_size(ifvar, 1, 1).&lt;&gt;</v>
      </c>
    </row>
    <row r="5" spans="1:57" ht="14.25" customHeight="1" x14ac:dyDescent="0.2">
      <c r="C5" s="1" t="str">
        <f t="shared" si="0"/>
        <v>Control</v>
      </c>
      <c r="D5" s="1" t="str">
        <f t="shared" si="1"/>
        <v>Control</v>
      </c>
      <c r="E5" s="2" t="s">
        <v>14</v>
      </c>
      <c r="F5" s="2" t="s">
        <v>15</v>
      </c>
      <c r="G5" s="2" t="s">
        <v>16</v>
      </c>
      <c r="I5" s="3"/>
      <c r="J5" s="10" t="s">
        <v>34</v>
      </c>
      <c r="K5" s="10" t="s">
        <v>34</v>
      </c>
      <c r="L5" s="10"/>
      <c r="M5" s="10"/>
      <c r="N5" s="4" t="s">
        <v>10</v>
      </c>
      <c r="Q5" s="2" t="s">
        <v>128</v>
      </c>
      <c r="T5" s="2" t="s">
        <v>17</v>
      </c>
      <c r="V5" s="9" t="str">
        <f t="shared" si="3"/>
        <v>[required('J')</v>
      </c>
      <c r="W5" s="9" t="str">
        <f t="shared" si="4"/>
        <v>, required('K')</v>
      </c>
      <c r="X5" s="9" t="str">
        <f t="shared" si="5"/>
        <v/>
      </c>
      <c r="Y5" s="9" t="str">
        <f t="shared" si="6"/>
        <v/>
      </c>
      <c r="Z5" t="str">
        <f t="shared" si="7"/>
        <v>[required('J'), required('K')]</v>
      </c>
      <c r="AA5" s="1" t="str">
        <f t="shared" si="8"/>
        <v>['O'</v>
      </c>
      <c r="AB5" t="str">
        <f t="shared" si="9"/>
        <v/>
      </c>
      <c r="AC5" t="str">
        <f t="shared" si="10"/>
        <v/>
      </c>
      <c r="AD5" t="str">
        <f t="shared" si="11"/>
        <v>['O']</v>
      </c>
      <c r="AE5" t="str">
        <f t="shared" si="12"/>
        <v>section(flipflop, 'Control').&lt;&gt;subsection(flipflop, 'Control').&lt;&gt;description(flipflop, 'a jk flipflop').&lt;&gt;visual_style(flipflop,  normal</v>
      </c>
      <c r="AF5" t="str">
        <f t="shared" si="13"/>
        <v>visual_style0</v>
      </c>
      <c r="AG5">
        <f t="shared" ref="AG5:AG62" si="25">IF(ISBLANK(U4),AG4,AG4+1)</f>
        <v>0</v>
      </c>
      <c r="AH5" t="str">
        <f t="shared" si="14"/>
        <v>&lt;&gt;%  ===== flipflop ===========&lt;&gt;section(flipflop, 'Control').&lt;&gt;subsection(flipflop, 'Control').&lt;&gt;description(flipflop, 'a jk flipflop').&lt;&gt;visual_style(flipflop,  normal).&lt;&gt;inputs(flipflop, [required('J'), required('K')]).&lt;&gt;outputs(flipflop, ['O']).&lt;&gt;input_types(flipflop, [pulse, pulse]).&lt;&gt;output_types(flipflop, [int]).&lt;&gt;image_name(flipflop, '/img/blocks/blocksheet1_01.png').&lt;&gt;</v>
      </c>
      <c r="AI5" t="str">
        <f t="shared" si="15"/>
        <v>[pulse</v>
      </c>
      <c r="AJ5" t="str">
        <f t="shared" si="16"/>
        <v>, pulse</v>
      </c>
      <c r="AK5" t="str">
        <f t="shared" si="17"/>
        <v/>
      </c>
      <c r="AL5" s="11" t="str">
        <f t="shared" si="18"/>
        <v/>
      </c>
      <c r="AM5" t="str">
        <f t="shared" si="19"/>
        <v>[int</v>
      </c>
      <c r="AN5" t="str">
        <f t="shared" si="20"/>
        <v/>
      </c>
      <c r="AO5" s="11" t="str">
        <f t="shared" si="21"/>
        <v/>
      </c>
      <c r="AP5" t="str">
        <f t="shared" si="22"/>
        <v>[pulse, pulse]</v>
      </c>
      <c r="AQ5" t="str">
        <f t="shared" si="23"/>
        <v>[int]</v>
      </c>
      <c r="AS5" t="s">
        <v>301</v>
      </c>
      <c r="AT5" t="s">
        <v>303</v>
      </c>
      <c r="BB5" t="s">
        <v>272</v>
      </c>
      <c r="BC5">
        <v>22</v>
      </c>
      <c r="BD5">
        <v>2</v>
      </c>
      <c r="BE5" t="str">
        <f t="shared" si="24"/>
        <v>&lt;&gt;%  ===== flipflop ===========&lt;&gt;section(flipflop, 'Control').&lt;&gt;subsection(flipflop, 'Control').&lt;&gt;description(flipflop, 'a jk flipflop').&lt;&gt;visual_style(flipflop,  normal).&lt;&gt;inputs(flipflop, [required('J'), required('K')]).&lt;&gt;outputs(flipflop, ['O']).&lt;&gt;input_types(flipflop, [pulse, pulse]).&lt;&gt;output_types(flipflop, [int]).&lt;&gt;image_name(flipflop, '/img/blocks/blocksheet1_01.png').&lt;&gt;prototype_coordinates(flipflop, 22, 2).&lt;&gt;icon_size(flipflop, , ).&lt;&gt;</v>
      </c>
    </row>
    <row r="6" spans="1:57" ht="14.25" customHeight="1" x14ac:dyDescent="0.2">
      <c r="A6" s="2" t="s">
        <v>18</v>
      </c>
      <c r="C6" s="1" t="str">
        <f t="shared" si="0"/>
        <v>Editor Support</v>
      </c>
      <c r="D6" s="1" t="str">
        <f t="shared" si="1"/>
        <v>Editor Support</v>
      </c>
      <c r="I6" s="3"/>
      <c r="J6" s="10"/>
      <c r="K6" s="10"/>
      <c r="L6" s="10"/>
      <c r="M6" s="10"/>
      <c r="N6" s="4"/>
      <c r="V6" s="9" t="str">
        <f t="shared" si="3"/>
        <v>[</v>
      </c>
      <c r="W6" s="9" t="str">
        <f t="shared" si="4"/>
        <v/>
      </c>
      <c r="X6" s="9" t="str">
        <f t="shared" si="5"/>
        <v/>
      </c>
      <c r="Y6" s="9" t="str">
        <f t="shared" si="6"/>
        <v/>
      </c>
      <c r="Z6" t="str">
        <f t="shared" si="7"/>
        <v>[]</v>
      </c>
      <c r="AA6" s="1" t="str">
        <f t="shared" si="8"/>
        <v>[</v>
      </c>
      <c r="AB6" t="str">
        <f t="shared" si="9"/>
        <v/>
      </c>
      <c r="AC6" t="str">
        <f t="shared" si="10"/>
        <v/>
      </c>
      <c r="AD6" t="str">
        <f t="shared" si="11"/>
        <v>[]</v>
      </c>
      <c r="AE6" t="str">
        <f t="shared" si="12"/>
        <v/>
      </c>
      <c r="AF6" t="str">
        <f t="shared" si="13"/>
        <v>visual_style0</v>
      </c>
      <c r="AG6">
        <f t="shared" si="25"/>
        <v>0</v>
      </c>
      <c r="AH6" t="str">
        <f t="shared" si="14"/>
        <v/>
      </c>
      <c r="AI6" t="str">
        <f t="shared" si="15"/>
        <v>[</v>
      </c>
      <c r="AJ6" t="str">
        <f t="shared" si="16"/>
        <v/>
      </c>
      <c r="AK6" t="str">
        <f t="shared" si="17"/>
        <v/>
      </c>
      <c r="AL6" s="11" t="str">
        <f t="shared" si="18"/>
        <v/>
      </c>
      <c r="AM6" t="str">
        <f t="shared" si="19"/>
        <v>[</v>
      </c>
      <c r="AN6" t="str">
        <f t="shared" si="20"/>
        <v/>
      </c>
      <c r="AO6" s="11" t="str">
        <f t="shared" si="21"/>
        <v/>
      </c>
      <c r="AP6" t="str">
        <f t="shared" si="22"/>
        <v>[]</v>
      </c>
      <c r="AQ6" t="str">
        <f t="shared" si="23"/>
        <v>[]</v>
      </c>
      <c r="BE6" t="str">
        <f t="shared" si="24"/>
        <v/>
      </c>
    </row>
    <row r="7" spans="1:57" ht="14.25" customHeight="1" x14ac:dyDescent="0.2">
      <c r="C7" s="1" t="str">
        <f t="shared" si="0"/>
        <v>Editor Support</v>
      </c>
      <c r="D7" s="1" t="str">
        <f t="shared" si="1"/>
        <v>Editor Support</v>
      </c>
      <c r="E7" s="2" t="s">
        <v>19</v>
      </c>
      <c r="F7" s="2" t="s">
        <v>8</v>
      </c>
      <c r="G7" s="2" t="s">
        <v>20</v>
      </c>
      <c r="I7" s="3"/>
      <c r="J7" s="10" t="s">
        <v>161</v>
      </c>
      <c r="K7" s="10" t="s">
        <v>161</v>
      </c>
      <c r="L7" s="10"/>
      <c r="M7" s="10"/>
      <c r="N7" s="4" t="s">
        <v>10</v>
      </c>
      <c r="Q7" s="2" t="s">
        <v>161</v>
      </c>
      <c r="T7" s="2" t="s">
        <v>21</v>
      </c>
      <c r="V7" s="9" t="str">
        <f t="shared" si="3"/>
        <v>[required('A')</v>
      </c>
      <c r="W7" s="9" t="str">
        <f t="shared" si="4"/>
        <v>, required('Default')</v>
      </c>
      <c r="X7" s="9" t="str">
        <f t="shared" si="5"/>
        <v/>
      </c>
      <c r="Y7" s="9" t="str">
        <f t="shared" si="6"/>
        <v/>
      </c>
      <c r="Z7" t="str">
        <f t="shared" si="7"/>
        <v>[required('A'), required('Default')]</v>
      </c>
      <c r="AA7" s="1" t="str">
        <f t="shared" si="8"/>
        <v>['O'</v>
      </c>
      <c r="AB7" t="str">
        <f t="shared" si="9"/>
        <v/>
      </c>
      <c r="AC7" t="str">
        <f t="shared" si="10"/>
        <v/>
      </c>
      <c r="AD7" t="str">
        <f t="shared" si="11"/>
        <v>['O']</v>
      </c>
      <c r="AE7" t="str">
        <f t="shared" si="12"/>
        <v>section(isolate, 'Editor Support').&lt;&gt;subsection(isolate, 'Editor Support').&lt;&gt;description(isolate, 'if the connection to A is visible, runs the network beyond A and passes A to O. Otherwise passes default to O. Used during development to prevent, for example, having to run the entire sound system because the sound system sends a hint to the CV system.').&lt;&gt;visual_style(isolate,  normal</v>
      </c>
      <c r="AF7" t="str">
        <f t="shared" si="13"/>
        <v>visual_style0</v>
      </c>
      <c r="AG7">
        <f t="shared" si="25"/>
        <v>0</v>
      </c>
      <c r="AH7" t="str">
        <f t="shared" si="14"/>
        <v>&lt;&gt;%  ===== isolate ===========&lt;&gt;section(isolate, 'Editor Support').&lt;&gt;subsection(isolate, 'Editor Support').&lt;&gt;description(isolate, 'if the connection to A is visible, runs the network beyond A and passes A to O. Otherwise passes default to O. Used during development to prevent, for example, having to run the entire sound system because the sound system sends a hint to the CV system.').&lt;&gt;visual_style(isolate,  normal).&lt;&gt;inputs(isolate, [required('A'), required('Default')]).&lt;&gt;outputs(isolate, ['O']).&lt;&gt;input_types(isolate, [object, object]).&lt;&gt;output_types(isolate, [object]).&lt;&gt;image_name(isolate, '/img/blocks/blocksheet0-_18.png').&lt;&gt;</v>
      </c>
      <c r="AI7" t="str">
        <f t="shared" si="15"/>
        <v>[object</v>
      </c>
      <c r="AJ7" t="str">
        <f t="shared" si="16"/>
        <v>, object</v>
      </c>
      <c r="AK7" t="str">
        <f t="shared" si="17"/>
        <v/>
      </c>
      <c r="AL7" s="11" t="str">
        <f t="shared" si="18"/>
        <v/>
      </c>
      <c r="AM7" t="str">
        <f t="shared" si="19"/>
        <v>[object</v>
      </c>
      <c r="AN7" t="str">
        <f t="shared" si="20"/>
        <v/>
      </c>
      <c r="AO7" s="11" t="str">
        <f t="shared" si="21"/>
        <v/>
      </c>
      <c r="AP7" t="str">
        <f t="shared" si="22"/>
        <v>[object, object]</v>
      </c>
      <c r="AQ7" t="str">
        <f t="shared" si="23"/>
        <v>[object]</v>
      </c>
      <c r="AT7" t="s">
        <v>304</v>
      </c>
      <c r="AW7">
        <v>0</v>
      </c>
      <c r="AX7">
        <v>2</v>
      </c>
      <c r="AY7">
        <v>2</v>
      </c>
      <c r="AZ7">
        <v>1</v>
      </c>
      <c r="BA7">
        <v>1</v>
      </c>
      <c r="BB7" t="s">
        <v>290</v>
      </c>
      <c r="BC7">
        <v>22</v>
      </c>
      <c r="BD7">
        <v>3</v>
      </c>
      <c r="BE7" t="str">
        <f t="shared" si="24"/>
        <v>&lt;&gt;%  ===== isolate ===========&lt;&gt;section(isolate, 'Editor Support').&lt;&gt;subsection(isolate, 'Editor Support').&lt;&gt;description(isolate, 'if the connection to A is visible, runs the network beyond A and passes A to O. Otherwise passes default to O. Used during development to prevent, for example, having to run the entire sound system because the sound system sends a hint to the CV system.').&lt;&gt;visual_style(isolate,  normal).&lt;&gt;inputs(isolate, [required('A'), required('Default')]).&lt;&gt;outputs(isolate, ['O']).&lt;&gt;input_types(isolate, [object, object]).&lt;&gt;output_types(isolate, [object]).&lt;&gt;image_name(isolate, '/img/blocks/blocksheet0-_18.png').&lt;&gt;prototype_coordinates(isolate, 22, 3).&lt;&gt;icon_size(isolate, 1, 1).&lt;&gt;</v>
      </c>
    </row>
    <row r="8" spans="1:57" ht="14.25" customHeight="1" x14ac:dyDescent="0.2">
      <c r="C8" s="1" t="str">
        <f t="shared" si="0"/>
        <v>Editor Support</v>
      </c>
      <c r="D8" s="1" t="str">
        <f t="shared" si="1"/>
        <v>Editor Support</v>
      </c>
      <c r="E8" s="2" t="s">
        <v>22</v>
      </c>
      <c r="F8" s="2" t="s">
        <v>305</v>
      </c>
      <c r="I8" s="3"/>
      <c r="J8" s="10" t="s">
        <v>162</v>
      </c>
      <c r="K8" s="10"/>
      <c r="L8" s="10"/>
      <c r="M8" s="10"/>
      <c r="N8" s="4" t="s">
        <v>10</v>
      </c>
      <c r="Q8" s="2" t="s">
        <v>161</v>
      </c>
      <c r="T8" s="2" t="s">
        <v>23</v>
      </c>
      <c r="U8" s="2" t="s">
        <v>24</v>
      </c>
      <c r="V8" s="9" t="str">
        <f t="shared" si="3"/>
        <v>[required('Name')</v>
      </c>
      <c r="W8" s="9" t="str">
        <f t="shared" si="4"/>
        <v/>
      </c>
      <c r="X8" s="9" t="str">
        <f t="shared" si="5"/>
        <v/>
      </c>
      <c r="Y8" s="9" t="str">
        <f t="shared" si="6"/>
        <v/>
      </c>
      <c r="Z8" t="str">
        <f t="shared" si="7"/>
        <v>[required('Name')]</v>
      </c>
      <c r="AA8" s="1" t="str">
        <f t="shared" si="8"/>
        <v>['O'</v>
      </c>
      <c r="AB8" t="str">
        <f t="shared" si="9"/>
        <v/>
      </c>
      <c r="AC8" t="str">
        <f t="shared" si="10"/>
        <v/>
      </c>
      <c r="AD8" t="str">
        <f t="shared" si="11"/>
        <v>['O']</v>
      </c>
      <c r="AE8" t="str">
        <f t="shared" si="12"/>
        <v>section(inputparam, 'Editor Support').&lt;&gt;subsection(inputparam, 'Editor Support').&lt;&gt;description(inputparam, 'used when defining new blocks').&lt;&gt;visual_style(inputparam,  visual_style0</v>
      </c>
      <c r="AF8" t="str">
        <f t="shared" si="13"/>
        <v>visual_style0</v>
      </c>
      <c r="AG8">
        <f t="shared" si="25"/>
        <v>0</v>
      </c>
      <c r="AH8" t="str">
        <f t="shared" si="14"/>
        <v>&lt;&gt;%  ===== inputparam ===========&lt;&gt;section(inputparam, 'Editor Support').&lt;&gt;subsection(inputparam, 'Editor Support').&lt;&gt;description(inputparam, 'used when defining new blocks').&lt;&gt;visual_style(inputparam,  visual_style0).&lt;&gt;inputs(inputparam, [required('Name')]).&lt;&gt;outputs(inputparam, ['O']).&lt;&gt;input_types(inputparam, [string]).&lt;&gt;output_types(inputparam, [object]).&lt;&gt;image_name(inputparam, '/img/blocks/blocksheet0-_15.png').&lt;&gt;</v>
      </c>
      <c r="AI8" t="str">
        <f t="shared" si="15"/>
        <v>[string</v>
      </c>
      <c r="AJ8" t="str">
        <f t="shared" si="16"/>
        <v/>
      </c>
      <c r="AK8" t="str">
        <f t="shared" si="17"/>
        <v/>
      </c>
      <c r="AL8" s="11" t="str">
        <f t="shared" si="18"/>
        <v/>
      </c>
      <c r="AM8" t="str">
        <f t="shared" si="19"/>
        <v>[object</v>
      </c>
      <c r="AN8" t="str">
        <f t="shared" si="20"/>
        <v/>
      </c>
      <c r="AO8" s="11" t="str">
        <f t="shared" si="21"/>
        <v/>
      </c>
      <c r="AP8" t="str">
        <f t="shared" si="22"/>
        <v>[string]</v>
      </c>
      <c r="AQ8" t="str">
        <f t="shared" si="23"/>
        <v>[object]</v>
      </c>
      <c r="AS8" t="s">
        <v>306</v>
      </c>
      <c r="AT8" t="s">
        <v>307</v>
      </c>
      <c r="AU8">
        <v>1</v>
      </c>
      <c r="AW8">
        <v>0</v>
      </c>
      <c r="AX8">
        <v>3</v>
      </c>
      <c r="AY8">
        <v>2</v>
      </c>
      <c r="AZ8">
        <v>1</v>
      </c>
      <c r="BA8">
        <v>1</v>
      </c>
      <c r="BB8" t="s">
        <v>291</v>
      </c>
      <c r="BC8">
        <v>22</v>
      </c>
      <c r="BD8">
        <v>4</v>
      </c>
      <c r="BE8" t="str">
        <f t="shared" si="24"/>
        <v>&lt;&gt;%  ===== inputparam ===========&lt;&gt;section(inputparam, 'Editor Support').&lt;&gt;subsection(inputparam, 'Editor Support').&lt;&gt;description(inputparam, 'used when defining new blocks').&lt;&gt;visual_style(inputparam,  visual_style0).&lt;&gt;inputs(inputparam, [required('Name')]).&lt;&gt;outputs(inputparam, ['O']).&lt;&gt;input_types(inputparam, [string]).&lt;&gt;output_types(inputparam, [object]).&lt;&gt;image_name(inputparam, '/img/blocks/blocksheet0-_15.png').&lt;&gt;prototype_coordinates(inputparam, 22, 4).&lt;&gt;icon_size(inputparam, 1, 1).&lt;&gt;</v>
      </c>
    </row>
    <row r="9" spans="1:57" ht="14.25" customHeight="1" x14ac:dyDescent="0.2">
      <c r="C9" s="1" t="str">
        <f t="shared" si="0"/>
        <v>Editor Support</v>
      </c>
      <c r="D9" s="1" t="str">
        <f t="shared" si="1"/>
        <v>Editor Support</v>
      </c>
      <c r="E9" s="2" t="s">
        <v>25</v>
      </c>
      <c r="F9" s="2" t="s">
        <v>8</v>
      </c>
      <c r="G9" s="2" t="s">
        <v>305</v>
      </c>
      <c r="I9" s="3"/>
      <c r="J9" s="10" t="s">
        <v>161</v>
      </c>
      <c r="K9" s="10" t="s">
        <v>162</v>
      </c>
      <c r="L9" s="10"/>
      <c r="M9" s="10"/>
      <c r="N9" s="4"/>
      <c r="T9" s="2" t="s">
        <v>23</v>
      </c>
      <c r="U9" s="2" t="s">
        <v>24</v>
      </c>
      <c r="V9" s="9" t="str">
        <f t="shared" si="3"/>
        <v>[required('A')</v>
      </c>
      <c r="W9" s="9" t="str">
        <f t="shared" si="4"/>
        <v>, required('Name')</v>
      </c>
      <c r="X9" s="9" t="str">
        <f t="shared" si="5"/>
        <v/>
      </c>
      <c r="Y9" s="9" t="str">
        <f t="shared" si="6"/>
        <v/>
      </c>
      <c r="Z9" t="str">
        <f t="shared" si="7"/>
        <v>[required('A'), required('Name')]</v>
      </c>
      <c r="AA9" s="1" t="str">
        <f t="shared" si="8"/>
        <v>[</v>
      </c>
      <c r="AB9" t="str">
        <f t="shared" si="9"/>
        <v/>
      </c>
      <c r="AC9" t="str">
        <f t="shared" si="10"/>
        <v/>
      </c>
      <c r="AD9" t="str">
        <f t="shared" si="11"/>
        <v>[]</v>
      </c>
      <c r="AE9" t="str">
        <f t="shared" si="12"/>
        <v>section(outputparam, 'Editor Support').&lt;&gt;subsection(outputparam, 'Editor Support').&lt;&gt;description(outputparam, 'used when defining new blocks').&lt;&gt;visual_style(outputparam,  visual_style1</v>
      </c>
      <c r="AF9" t="str">
        <f t="shared" si="13"/>
        <v>visual_style1</v>
      </c>
      <c r="AG9">
        <f t="shared" si="25"/>
        <v>1</v>
      </c>
      <c r="AH9" t="str">
        <f t="shared" si="14"/>
        <v>&lt;&gt;%  ===== outputparam ===========&lt;&gt;section(outputparam, 'Editor Support').&lt;&gt;subsection(outputparam, 'Editor Support').&lt;&gt;description(outputparam, 'used when defining new blocks').&lt;&gt;visual_style(outputparam,  visual_style1).&lt;&gt;inputs(outputparam, [required('A'), required('Name')]).&lt;&gt;outputs(outputparam, []).&lt;&gt;input_types(outputparam, [object, string]).&lt;&gt;output_types(outputparam, []).&lt;&gt;image_name(outputparam, '/img/blocks/blocksheet0-_29.png').&lt;&gt;</v>
      </c>
      <c r="AI9" t="str">
        <f t="shared" si="15"/>
        <v>[object</v>
      </c>
      <c r="AJ9" t="str">
        <f t="shared" si="16"/>
        <v>, string</v>
      </c>
      <c r="AK9" t="str">
        <f t="shared" si="17"/>
        <v/>
      </c>
      <c r="AL9" s="11" t="str">
        <f t="shared" si="18"/>
        <v/>
      </c>
      <c r="AM9" t="str">
        <f t="shared" si="19"/>
        <v>[</v>
      </c>
      <c r="AN9" t="str">
        <f t="shared" si="20"/>
        <v/>
      </c>
      <c r="AO9" s="11" t="str">
        <f t="shared" si="21"/>
        <v/>
      </c>
      <c r="AP9" t="str">
        <f t="shared" si="22"/>
        <v>[object, string]</v>
      </c>
      <c r="AQ9" t="str">
        <f t="shared" si="23"/>
        <v>[]</v>
      </c>
      <c r="AS9" t="s">
        <v>308</v>
      </c>
      <c r="AT9" t="s">
        <v>309</v>
      </c>
      <c r="AU9">
        <v>1</v>
      </c>
      <c r="AW9">
        <v>0</v>
      </c>
      <c r="AX9">
        <v>3</v>
      </c>
      <c r="AY9">
        <v>3</v>
      </c>
      <c r="AZ9">
        <v>1</v>
      </c>
      <c r="BA9">
        <v>1</v>
      </c>
      <c r="BB9" t="s">
        <v>292</v>
      </c>
      <c r="BC9">
        <v>22</v>
      </c>
      <c r="BD9">
        <v>5</v>
      </c>
      <c r="BE9" t="str">
        <f t="shared" si="24"/>
        <v>&lt;&gt;%  ===== outputparam ===========&lt;&gt;section(outputparam, 'Editor Support').&lt;&gt;subsection(outputparam, 'Editor Support').&lt;&gt;description(outputparam, 'used when defining new blocks').&lt;&gt;visual_style(outputparam,  visual_style1).&lt;&gt;inputs(outputparam, [required('A'), required('Name')]).&lt;&gt;outputs(outputparam, []).&lt;&gt;input_types(outputparam, [object, string]).&lt;&gt;output_types(outputparam, []).&lt;&gt;image_name(outputparam, '/img/blocks/blocksheet0-_29.png').&lt;&gt;prototype_coordinates(outputparam, 22, 5).&lt;&gt;icon_size(outputparam, 1, 1).&lt;&gt;</v>
      </c>
    </row>
    <row r="10" spans="1:57" ht="14.25" customHeight="1" x14ac:dyDescent="0.2">
      <c r="A10" s="2" t="s">
        <v>26</v>
      </c>
      <c r="C10" s="1" t="str">
        <f t="shared" si="0"/>
        <v>Math</v>
      </c>
      <c r="D10" s="1" t="str">
        <f t="shared" si="1"/>
        <v>Math</v>
      </c>
      <c r="I10" s="3"/>
      <c r="J10" s="10"/>
      <c r="K10" s="10"/>
      <c r="L10" s="10"/>
      <c r="M10" s="10"/>
      <c r="N10" s="4"/>
      <c r="V10" s="9" t="str">
        <f t="shared" si="3"/>
        <v>[</v>
      </c>
      <c r="W10" s="9" t="str">
        <f t="shared" si="4"/>
        <v/>
      </c>
      <c r="X10" s="9" t="str">
        <f t="shared" si="5"/>
        <v/>
      </c>
      <c r="Y10" s="9" t="str">
        <f t="shared" si="6"/>
        <v/>
      </c>
      <c r="Z10" t="str">
        <f t="shared" si="7"/>
        <v>[]</v>
      </c>
      <c r="AA10" s="1" t="str">
        <f t="shared" si="8"/>
        <v>[</v>
      </c>
      <c r="AB10" t="str">
        <f t="shared" si="9"/>
        <v/>
      </c>
      <c r="AC10" t="str">
        <f t="shared" si="10"/>
        <v/>
      </c>
      <c r="AD10" t="str">
        <f t="shared" si="11"/>
        <v>[]</v>
      </c>
      <c r="AE10" t="str">
        <f t="shared" si="12"/>
        <v/>
      </c>
      <c r="AF10" t="str">
        <f t="shared" si="13"/>
        <v>visual_style2</v>
      </c>
      <c r="AG10">
        <f t="shared" si="25"/>
        <v>2</v>
      </c>
      <c r="AH10" t="str">
        <f t="shared" si="14"/>
        <v/>
      </c>
      <c r="AI10" t="str">
        <f t="shared" si="15"/>
        <v>[</v>
      </c>
      <c r="AJ10" t="str">
        <f t="shared" si="16"/>
        <v/>
      </c>
      <c r="AK10" t="str">
        <f t="shared" si="17"/>
        <v/>
      </c>
      <c r="AL10" s="11" t="str">
        <f t="shared" si="18"/>
        <v/>
      </c>
      <c r="AM10" t="str">
        <f t="shared" si="19"/>
        <v>[</v>
      </c>
      <c r="AN10" t="str">
        <f t="shared" si="20"/>
        <v/>
      </c>
      <c r="AO10" s="11" t="str">
        <f t="shared" si="21"/>
        <v/>
      </c>
      <c r="AP10" t="str">
        <f t="shared" si="22"/>
        <v>[]</v>
      </c>
      <c r="AQ10" t="str">
        <f t="shared" si="23"/>
        <v>[]</v>
      </c>
      <c r="BE10" t="str">
        <f t="shared" si="24"/>
        <v/>
      </c>
    </row>
    <row r="11" spans="1:57" ht="14.25" customHeight="1" x14ac:dyDescent="0.2">
      <c r="C11" s="1" t="str">
        <f t="shared" si="0"/>
        <v>Math</v>
      </c>
      <c r="D11" s="1" t="str">
        <f t="shared" si="1"/>
        <v>Math</v>
      </c>
      <c r="E11" s="2" t="s">
        <v>27</v>
      </c>
      <c r="F11" s="2" t="s">
        <v>310</v>
      </c>
      <c r="G11" s="2" t="s">
        <v>8</v>
      </c>
      <c r="H11" s="2" t="s">
        <v>9</v>
      </c>
      <c r="I11" s="3" t="s">
        <v>158</v>
      </c>
      <c r="J11" s="10" t="s">
        <v>162</v>
      </c>
      <c r="K11" s="10" t="s">
        <v>33</v>
      </c>
      <c r="L11" s="10" t="s">
        <v>33</v>
      </c>
      <c r="M11" s="10" t="s">
        <v>33</v>
      </c>
      <c r="N11" s="4" t="s">
        <v>10</v>
      </c>
      <c r="Q11" s="2" t="s">
        <v>161</v>
      </c>
      <c r="T11" s="2" t="s">
        <v>28</v>
      </c>
      <c r="V11" s="9" t="str">
        <f t="shared" si="3"/>
        <v>[required('Formula')</v>
      </c>
      <c r="W11" s="9" t="str">
        <f t="shared" si="4"/>
        <v>, required('A')</v>
      </c>
      <c r="X11" s="9" t="str">
        <f t="shared" si="5"/>
        <v>, required('B')</v>
      </c>
      <c r="Y11" s="9" t="str">
        <f t="shared" si="6"/>
        <v>, required('C')</v>
      </c>
      <c r="Z11" t="str">
        <f t="shared" si="7"/>
        <v>[required('Formula'), required('A'), required('B')]</v>
      </c>
      <c r="AA11" s="1" t="str">
        <f t="shared" si="8"/>
        <v>['O'</v>
      </c>
      <c r="AB11" t="str">
        <f t="shared" si="9"/>
        <v/>
      </c>
      <c r="AC11" t="str">
        <f t="shared" si="10"/>
        <v/>
      </c>
      <c r="AD11" t="str">
        <f t="shared" si="11"/>
        <v>['O']</v>
      </c>
      <c r="AE11" t="str">
        <f t="shared" si="12"/>
        <v>section(func, 'Math').&lt;&gt;subsection(func, 'Math').&lt;&gt;description(func, 'This special block has a textbox for a formula. So if you type 3x+2 you see an input parameter x. Operator meaning depends on whats connected to x (scalar or vector). Understands LSL angle bracket quat syntax').&lt;&gt;visual_style(func,  normal</v>
      </c>
      <c r="AF11" t="str">
        <f t="shared" si="13"/>
        <v>visual_style2</v>
      </c>
      <c r="AG11">
        <f t="shared" si="25"/>
        <v>2</v>
      </c>
      <c r="AH11" t="str">
        <f t="shared" si="14"/>
        <v>&lt;&gt;%  ===== func ===========&lt;&gt;section(func, 'Math').&lt;&gt;subsection(func, 'Math').&lt;&gt;description(func, 'This special block has a textbox for a formula. So if you type 3x+2 you see an input parameter x. Operator meaning depends on whats connected to x (scalar or vector). Understands LSL angle bracket quat syntax').&lt;&gt;visual_style(func,  normal).&lt;&gt;inputs(func, [required('Formula'), required('A'), required('B')]).&lt;&gt;outputs(func, ['O']).&lt;&gt;input_types(func, [string, scalar, scalar, scalar]).&lt;&gt;output_types(func, [object]).&lt;&gt;image_name(func, '/img/blocks/blocksheet0-_32.png').&lt;&gt;</v>
      </c>
      <c r="AI11" t="str">
        <f t="shared" si="15"/>
        <v>[string</v>
      </c>
      <c r="AJ11" t="str">
        <f t="shared" si="16"/>
        <v>, scalar</v>
      </c>
      <c r="AK11" t="str">
        <f t="shared" si="17"/>
        <v>, scalar</v>
      </c>
      <c r="AL11" s="11" t="str">
        <f t="shared" si="18"/>
        <v>, scalar</v>
      </c>
      <c r="AM11" t="str">
        <f t="shared" si="19"/>
        <v>[object</v>
      </c>
      <c r="AN11" t="str">
        <f t="shared" si="20"/>
        <v/>
      </c>
      <c r="AO11" s="11" t="str">
        <f t="shared" si="21"/>
        <v/>
      </c>
      <c r="AP11" t="str">
        <f t="shared" si="22"/>
        <v>[string, scalar, scalar, scalar]</v>
      </c>
      <c r="AQ11" t="str">
        <f t="shared" si="23"/>
        <v>[object]</v>
      </c>
      <c r="AS11">
        <v>1</v>
      </c>
      <c r="AW11">
        <v>0</v>
      </c>
      <c r="AX11">
        <v>1</v>
      </c>
      <c r="AY11">
        <v>3</v>
      </c>
      <c r="AZ11">
        <v>2</v>
      </c>
      <c r="BA11">
        <v>1</v>
      </c>
      <c r="BB11" t="s">
        <v>293</v>
      </c>
      <c r="BC11">
        <v>23</v>
      </c>
      <c r="BD11">
        <v>0</v>
      </c>
      <c r="BE11" t="str">
        <f t="shared" si="24"/>
        <v>&lt;&gt;%  ===== func ===========&lt;&gt;section(func, 'Math').&lt;&gt;subsection(func, 'Math').&lt;&gt;description(func, 'This special block has a textbox for a formula. So if you type 3x+2 you see an input parameter x. Operator meaning depends on whats connected to x (scalar or vector). Understands LSL angle bracket quat syntax').&lt;&gt;visual_style(func,  normal).&lt;&gt;inputs(func, [required('Formula'), required('A'), required('B')]).&lt;&gt;outputs(func, ['O']).&lt;&gt;input_types(func, [string, scalar, scalar, scalar]).&lt;&gt;output_types(func, [object]).&lt;&gt;image_name(func, '/img/blocks/blocksheet0-_32.png').&lt;&gt;prototype_coordinates(func, 23, 0).&lt;&gt;icon_size(func, 2, 1).&lt;&gt;</v>
      </c>
    </row>
    <row r="12" spans="1:57" ht="14.25" customHeight="1" x14ac:dyDescent="0.2">
      <c r="A12" s="2" t="s">
        <v>29</v>
      </c>
      <c r="C12" s="1" t="str">
        <f t="shared" si="0"/>
        <v>Misc</v>
      </c>
      <c r="D12" s="1" t="str">
        <f t="shared" si="1"/>
        <v>Misc</v>
      </c>
      <c r="I12" s="3"/>
      <c r="J12" s="10"/>
      <c r="K12" s="10"/>
      <c r="L12" s="10"/>
      <c r="M12" s="10"/>
      <c r="N12" s="4"/>
      <c r="V12" s="9" t="str">
        <f t="shared" si="3"/>
        <v>[</v>
      </c>
      <c r="W12" s="9" t="str">
        <f t="shared" si="4"/>
        <v/>
      </c>
      <c r="X12" s="9" t="str">
        <f t="shared" si="5"/>
        <v/>
      </c>
      <c r="Y12" s="9" t="str">
        <f t="shared" si="6"/>
        <v/>
      </c>
      <c r="Z12" t="str">
        <f t="shared" si="7"/>
        <v>[]</v>
      </c>
      <c r="AA12" s="1" t="str">
        <f t="shared" si="8"/>
        <v>[</v>
      </c>
      <c r="AB12" t="str">
        <f t="shared" si="9"/>
        <v/>
      </c>
      <c r="AC12" t="str">
        <f t="shared" si="10"/>
        <v/>
      </c>
      <c r="AD12" t="str">
        <f t="shared" si="11"/>
        <v>[]</v>
      </c>
      <c r="AE12" t="str">
        <f t="shared" si="12"/>
        <v/>
      </c>
      <c r="AF12" t="str">
        <f t="shared" si="13"/>
        <v>visual_style2</v>
      </c>
      <c r="AG12">
        <f t="shared" si="25"/>
        <v>2</v>
      </c>
      <c r="AH12" t="str">
        <f t="shared" si="14"/>
        <v/>
      </c>
      <c r="AI12" t="str">
        <f t="shared" si="15"/>
        <v>[</v>
      </c>
      <c r="AJ12" t="str">
        <f t="shared" si="16"/>
        <v/>
      </c>
      <c r="AK12" t="str">
        <f t="shared" si="17"/>
        <v/>
      </c>
      <c r="AL12" s="11" t="str">
        <f t="shared" si="18"/>
        <v/>
      </c>
      <c r="AM12" t="str">
        <f t="shared" si="19"/>
        <v>[</v>
      </c>
      <c r="AN12" t="str">
        <f t="shared" si="20"/>
        <v/>
      </c>
      <c r="AO12" s="11" t="str">
        <f t="shared" si="21"/>
        <v/>
      </c>
      <c r="AP12" t="str">
        <f t="shared" si="22"/>
        <v>[]</v>
      </c>
      <c r="AQ12" t="str">
        <f t="shared" si="23"/>
        <v>[]</v>
      </c>
      <c r="BE12" t="str">
        <f t="shared" si="24"/>
        <v/>
      </c>
    </row>
    <row r="13" spans="1:57" ht="14.25" customHeight="1" x14ac:dyDescent="0.2">
      <c r="C13" s="1" t="str">
        <f t="shared" si="0"/>
        <v>Misc</v>
      </c>
      <c r="D13" s="1" t="str">
        <f t="shared" si="1"/>
        <v>Misc</v>
      </c>
      <c r="E13" s="2" t="s">
        <v>30</v>
      </c>
      <c r="F13" s="2" t="s">
        <v>8</v>
      </c>
      <c r="I13" s="3"/>
      <c r="J13" s="10" t="s">
        <v>161</v>
      </c>
      <c r="K13" s="10"/>
      <c r="L13" s="10"/>
      <c r="M13" s="10"/>
      <c r="N13" s="4" t="s">
        <v>10</v>
      </c>
      <c r="Q13" s="2" t="s">
        <v>161</v>
      </c>
      <c r="T13" s="2" t="s">
        <v>31</v>
      </c>
      <c r="V13" s="9" t="str">
        <f t="shared" si="3"/>
        <v>[required('A')</v>
      </c>
      <c r="W13" s="9" t="str">
        <f t="shared" si="4"/>
        <v/>
      </c>
      <c r="X13" s="9" t="str">
        <f t="shared" si="5"/>
        <v/>
      </c>
      <c r="Y13" s="9" t="str">
        <f t="shared" si="6"/>
        <v/>
      </c>
      <c r="Z13" t="str">
        <f t="shared" si="7"/>
        <v>[required('A')]</v>
      </c>
      <c r="AA13" s="1" t="str">
        <f t="shared" si="8"/>
        <v>['O'</v>
      </c>
      <c r="AB13" t="str">
        <f t="shared" si="9"/>
        <v/>
      </c>
      <c r="AC13" t="str">
        <f t="shared" si="10"/>
        <v/>
      </c>
      <c r="AD13" t="str">
        <f t="shared" si="11"/>
        <v>['O']</v>
      </c>
      <c r="AE13" t="str">
        <f t="shared" si="12"/>
        <v>section(delay, 'Misc').&lt;&gt;subsection(delay, 'Misc').&lt;&gt;description(delay, 'O is the previous stable value of A').&lt;&gt;visual_style(delay,  normal</v>
      </c>
      <c r="AF13" t="str">
        <f t="shared" si="13"/>
        <v>visual_style2</v>
      </c>
      <c r="AG13">
        <f t="shared" si="25"/>
        <v>2</v>
      </c>
      <c r="AH13" t="str">
        <f t="shared" si="14"/>
        <v>&lt;&gt;%  ===== delay ===========&lt;&gt;section(delay, 'Misc').&lt;&gt;subsection(delay, 'Misc').&lt;&gt;description(delay, 'O is the previous stable value of A').&lt;&gt;visual_style(delay,  normal).&lt;&gt;inputs(delay, [required('A')]).&lt;&gt;outputs(delay, ['O']).&lt;&gt;input_types(delay, [object]).&lt;&gt;output_types(delay, [object]).&lt;&gt;image_name(delay, '/img/blocks/blocksheet0-_31.png').&lt;&gt;</v>
      </c>
      <c r="AI13" t="str">
        <f t="shared" si="15"/>
        <v>[object</v>
      </c>
      <c r="AJ13" t="str">
        <f t="shared" si="16"/>
        <v/>
      </c>
      <c r="AK13" t="str">
        <f t="shared" si="17"/>
        <v/>
      </c>
      <c r="AL13" s="11" t="str">
        <f t="shared" si="18"/>
        <v/>
      </c>
      <c r="AM13" t="str">
        <f t="shared" si="19"/>
        <v>[object</v>
      </c>
      <c r="AN13" t="str">
        <f t="shared" si="20"/>
        <v/>
      </c>
      <c r="AO13" s="11" t="str">
        <f t="shared" si="21"/>
        <v/>
      </c>
      <c r="AP13" t="str">
        <f t="shared" si="22"/>
        <v>[object]</v>
      </c>
      <c r="AQ13" t="str">
        <f t="shared" si="23"/>
        <v>[object]</v>
      </c>
      <c r="AS13">
        <v>1</v>
      </c>
      <c r="AW13">
        <v>0</v>
      </c>
      <c r="AX13">
        <v>0</v>
      </c>
      <c r="AY13">
        <v>3</v>
      </c>
      <c r="AZ13">
        <v>1</v>
      </c>
      <c r="BA13">
        <v>1</v>
      </c>
      <c r="BB13" t="s">
        <v>294</v>
      </c>
      <c r="BC13">
        <v>23</v>
      </c>
      <c r="BD13">
        <v>1</v>
      </c>
      <c r="BE13" t="str">
        <f t="shared" si="24"/>
        <v>&lt;&gt;%  ===== delay ===========&lt;&gt;section(delay, 'Misc').&lt;&gt;subsection(delay, 'Misc').&lt;&gt;description(delay, 'O is the previous stable value of A').&lt;&gt;visual_style(delay,  normal).&lt;&gt;inputs(delay, [required('A')]).&lt;&gt;outputs(delay, ['O']).&lt;&gt;input_types(delay, [object]).&lt;&gt;output_types(delay, [object]).&lt;&gt;image_name(delay, '/img/blocks/blocksheet0-_31.png').&lt;&gt;prototype_coordinates(delay, 23, 1).&lt;&gt;icon_size(delay, 1, 1).&lt;&gt;</v>
      </c>
    </row>
    <row r="14" spans="1:57" ht="14.25" customHeight="1" x14ac:dyDescent="0.2">
      <c r="A14" s="2" t="s">
        <v>32</v>
      </c>
      <c r="C14" s="1" t="str">
        <f t="shared" si="0"/>
        <v>I/O</v>
      </c>
      <c r="D14" s="1" t="str">
        <f t="shared" si="1"/>
        <v>I/O</v>
      </c>
      <c r="I14" s="3"/>
      <c r="J14" s="10"/>
      <c r="K14" s="10"/>
      <c r="L14" s="10"/>
      <c r="M14" s="10"/>
      <c r="N14" s="4"/>
      <c r="V14" s="9" t="str">
        <f t="shared" si="3"/>
        <v>[</v>
      </c>
      <c r="W14" s="9" t="str">
        <f t="shared" si="4"/>
        <v/>
      </c>
      <c r="X14" s="9" t="str">
        <f t="shared" si="5"/>
        <v/>
      </c>
      <c r="Y14" s="9" t="str">
        <f t="shared" si="6"/>
        <v/>
      </c>
      <c r="Z14" t="str">
        <f t="shared" si="7"/>
        <v>[]</v>
      </c>
      <c r="AA14" s="1" t="str">
        <f t="shared" si="8"/>
        <v>[</v>
      </c>
      <c r="AB14" t="str">
        <f t="shared" si="9"/>
        <v/>
      </c>
      <c r="AC14" t="str">
        <f t="shared" si="10"/>
        <v/>
      </c>
      <c r="AD14" t="str">
        <f t="shared" si="11"/>
        <v>[]</v>
      </c>
      <c r="AE14" t="str">
        <f t="shared" si="12"/>
        <v/>
      </c>
      <c r="AF14" t="str">
        <f t="shared" si="13"/>
        <v>visual_style2</v>
      </c>
      <c r="AG14">
        <f t="shared" si="25"/>
        <v>2</v>
      </c>
      <c r="AH14" t="str">
        <f t="shared" si="14"/>
        <v/>
      </c>
      <c r="AI14" t="str">
        <f t="shared" si="15"/>
        <v>[</v>
      </c>
      <c r="AJ14" t="str">
        <f t="shared" si="16"/>
        <v/>
      </c>
      <c r="AK14" t="str">
        <f t="shared" si="17"/>
        <v/>
      </c>
      <c r="AL14" s="11" t="str">
        <f t="shared" si="18"/>
        <v/>
      </c>
      <c r="AM14" t="str">
        <f t="shared" si="19"/>
        <v>[</v>
      </c>
      <c r="AN14" t="str">
        <f t="shared" si="20"/>
        <v/>
      </c>
      <c r="AO14" s="11" t="str">
        <f t="shared" si="21"/>
        <v/>
      </c>
      <c r="AP14" t="str">
        <f t="shared" si="22"/>
        <v>[]</v>
      </c>
      <c r="AQ14" t="str">
        <f t="shared" si="23"/>
        <v>[]</v>
      </c>
      <c r="BE14" t="str">
        <f t="shared" si="24"/>
        <v/>
      </c>
    </row>
    <row r="15" spans="1:57" ht="14.25" customHeight="1" x14ac:dyDescent="0.2">
      <c r="B15" s="2" t="s">
        <v>33</v>
      </c>
      <c r="C15" s="1" t="str">
        <f t="shared" si="0"/>
        <v>I/O</v>
      </c>
      <c r="D15" s="1" t="str">
        <f t="shared" si="1"/>
        <v>scalar</v>
      </c>
      <c r="I15" s="3"/>
      <c r="J15" s="10"/>
      <c r="K15" s="10"/>
      <c r="L15" s="10"/>
      <c r="M15" s="10"/>
      <c r="N15" s="4"/>
      <c r="V15" s="9" t="str">
        <f t="shared" si="3"/>
        <v>[</v>
      </c>
      <c r="W15" s="9" t="str">
        <f t="shared" si="4"/>
        <v/>
      </c>
      <c r="X15" s="9" t="str">
        <f t="shared" si="5"/>
        <v/>
      </c>
      <c r="Y15" s="9" t="str">
        <f t="shared" si="6"/>
        <v/>
      </c>
      <c r="Z15" t="str">
        <f t="shared" si="7"/>
        <v>[]</v>
      </c>
      <c r="AA15" s="1" t="str">
        <f t="shared" si="8"/>
        <v>[</v>
      </c>
      <c r="AB15" t="str">
        <f t="shared" si="9"/>
        <v/>
      </c>
      <c r="AC15" t="str">
        <f t="shared" si="10"/>
        <v/>
      </c>
      <c r="AD15" t="str">
        <f t="shared" si="11"/>
        <v>[]</v>
      </c>
      <c r="AE15" t="str">
        <f t="shared" si="12"/>
        <v/>
      </c>
      <c r="AF15" t="str">
        <f t="shared" si="13"/>
        <v>visual_style2</v>
      </c>
      <c r="AG15">
        <f t="shared" si="25"/>
        <v>2</v>
      </c>
      <c r="AH15" t="str">
        <f t="shared" si="14"/>
        <v/>
      </c>
      <c r="AI15" t="str">
        <f t="shared" si="15"/>
        <v>[</v>
      </c>
      <c r="AJ15" t="str">
        <f t="shared" si="16"/>
        <v/>
      </c>
      <c r="AK15" t="str">
        <f t="shared" si="17"/>
        <v/>
      </c>
      <c r="AL15" s="11" t="str">
        <f t="shared" si="18"/>
        <v/>
      </c>
      <c r="AM15" t="str">
        <f t="shared" si="19"/>
        <v>[</v>
      </c>
      <c r="AN15" t="str">
        <f t="shared" si="20"/>
        <v/>
      </c>
      <c r="AO15" s="11" t="str">
        <f t="shared" si="21"/>
        <v/>
      </c>
      <c r="AP15" t="str">
        <f t="shared" si="22"/>
        <v>[]</v>
      </c>
      <c r="AQ15" t="str">
        <f t="shared" si="23"/>
        <v>[]</v>
      </c>
      <c r="BE15" t="str">
        <f t="shared" si="24"/>
        <v/>
      </c>
    </row>
    <row r="16" spans="1:57" ht="14.25" customHeight="1" x14ac:dyDescent="0.2">
      <c r="C16" s="1" t="str">
        <f t="shared" si="0"/>
        <v>I/O</v>
      </c>
      <c r="D16" s="1" t="str">
        <f t="shared" si="1"/>
        <v>scalar</v>
      </c>
      <c r="E16" s="2" t="s">
        <v>34</v>
      </c>
      <c r="I16" s="3"/>
      <c r="J16" s="10"/>
      <c r="K16" s="10"/>
      <c r="L16" s="10"/>
      <c r="M16" s="10"/>
      <c r="N16" s="4" t="s">
        <v>10</v>
      </c>
      <c r="Q16" s="2" t="s">
        <v>34</v>
      </c>
      <c r="T16" s="2" t="s">
        <v>35</v>
      </c>
      <c r="U16" s="2" t="s">
        <v>36</v>
      </c>
      <c r="V16" s="9" t="str">
        <f t="shared" si="3"/>
        <v>[</v>
      </c>
      <c r="W16" s="9" t="str">
        <f t="shared" si="4"/>
        <v/>
      </c>
      <c r="X16" s="9" t="str">
        <f t="shared" si="5"/>
        <v/>
      </c>
      <c r="Y16" s="9" t="str">
        <f t="shared" si="6"/>
        <v/>
      </c>
      <c r="Z16" t="str">
        <f t="shared" si="7"/>
        <v>[]</v>
      </c>
      <c r="AA16" s="1" t="str">
        <f t="shared" si="8"/>
        <v>['O'</v>
      </c>
      <c r="AB16" t="str">
        <f t="shared" si="9"/>
        <v/>
      </c>
      <c r="AC16" t="str">
        <f t="shared" si="10"/>
        <v/>
      </c>
      <c r="AD16" t="str">
        <f t="shared" si="11"/>
        <v>['O']</v>
      </c>
      <c r="AE16" t="str">
        <f t="shared" si="12"/>
        <v>section(pulse, 'I/O').&lt;&gt;subsection(pulse, 'scalar').&lt;&gt;description(pulse, 'Is 1 on the next frame after mouseup').&lt;&gt;visual_style(pulse,  visual_style2</v>
      </c>
      <c r="AF16" t="str">
        <f t="shared" si="13"/>
        <v>visual_style2</v>
      </c>
      <c r="AG16">
        <f t="shared" si="25"/>
        <v>2</v>
      </c>
      <c r="AH16" t="str">
        <f t="shared" si="14"/>
        <v>&lt;&gt;%  ===== pulse ===========&lt;&gt;section(pulse, 'I/O').&lt;&gt;subsection(pulse, 'scalar').&lt;&gt;description(pulse, 'Is 1 on the next frame after mouseup').&lt;&gt;visual_style(pulse,  visual_style2).&lt;&gt;inputs(pulse, []).&lt;&gt;outputs(pulse, ['O']).&lt;&gt;input_types(pulse, []).&lt;&gt;output_types(pulse, [pulse]).&lt;&gt;image_name(pulse, '/img/blocks/blocksheet1_01.png').&lt;&gt;</v>
      </c>
      <c r="AI16" t="str">
        <f t="shared" si="15"/>
        <v>[</v>
      </c>
      <c r="AJ16" t="str">
        <f t="shared" si="16"/>
        <v/>
      </c>
      <c r="AK16" t="str">
        <f t="shared" si="17"/>
        <v/>
      </c>
      <c r="AL16" s="11" t="str">
        <f t="shared" si="18"/>
        <v/>
      </c>
      <c r="AM16" t="str">
        <f t="shared" si="19"/>
        <v>[pulse</v>
      </c>
      <c r="AN16" t="str">
        <f t="shared" si="20"/>
        <v/>
      </c>
      <c r="AO16" s="11" t="str">
        <f t="shared" si="21"/>
        <v/>
      </c>
      <c r="AP16" t="str">
        <f t="shared" si="22"/>
        <v>[]</v>
      </c>
      <c r="AQ16" t="str">
        <f t="shared" si="23"/>
        <v>[pulse]</v>
      </c>
      <c r="AS16">
        <v>1</v>
      </c>
      <c r="AZ16">
        <v>1</v>
      </c>
      <c r="BA16">
        <v>1</v>
      </c>
      <c r="BB16" t="s">
        <v>272</v>
      </c>
      <c r="BC16">
        <v>21</v>
      </c>
      <c r="BD16">
        <v>0</v>
      </c>
      <c r="BE16" t="str">
        <f t="shared" si="24"/>
        <v>&lt;&gt;%  ===== pulse ===========&lt;&gt;section(pulse, 'I/O').&lt;&gt;subsection(pulse, 'scalar').&lt;&gt;description(pulse, 'Is 1 on the next frame after mouseup').&lt;&gt;visual_style(pulse,  visual_style2).&lt;&gt;inputs(pulse, []).&lt;&gt;outputs(pulse, ['O']).&lt;&gt;input_types(pulse, []).&lt;&gt;output_types(pulse, [pulse]).&lt;&gt;image_name(pulse, '/img/blocks/blocksheet1_01.png').&lt;&gt;prototype_coordinates(pulse, 21, 0).&lt;&gt;icon_size(pulse, 1, 1).&lt;&gt;</v>
      </c>
    </row>
    <row r="17" spans="2:57" ht="14.25" customHeight="1" x14ac:dyDescent="0.2">
      <c r="C17" s="1" t="str">
        <f t="shared" si="0"/>
        <v>I/O</v>
      </c>
      <c r="D17" s="1" t="str">
        <f t="shared" si="1"/>
        <v>scalar</v>
      </c>
      <c r="E17" s="2" t="s">
        <v>37</v>
      </c>
      <c r="I17" s="3"/>
      <c r="J17" s="10"/>
      <c r="K17" s="10"/>
      <c r="L17" s="10"/>
      <c r="M17" s="10"/>
      <c r="N17" s="4" t="s">
        <v>10</v>
      </c>
      <c r="Q17" s="2" t="s">
        <v>37</v>
      </c>
      <c r="T17" s="2" t="s">
        <v>38</v>
      </c>
      <c r="U17" s="2" t="s">
        <v>39</v>
      </c>
      <c r="V17" s="9" t="str">
        <f t="shared" si="3"/>
        <v>[</v>
      </c>
      <c r="W17" s="9" t="str">
        <f t="shared" si="4"/>
        <v/>
      </c>
      <c r="X17" s="9" t="str">
        <f t="shared" si="5"/>
        <v/>
      </c>
      <c r="Y17" s="9" t="str">
        <f t="shared" si="6"/>
        <v/>
      </c>
      <c r="Z17" t="str">
        <f t="shared" si="7"/>
        <v>[]</v>
      </c>
      <c r="AA17" s="1" t="str">
        <f t="shared" si="8"/>
        <v>['O'</v>
      </c>
      <c r="AB17" t="str">
        <f t="shared" si="9"/>
        <v/>
      </c>
      <c r="AC17" t="str">
        <f t="shared" si="10"/>
        <v/>
      </c>
      <c r="AD17" t="str">
        <f t="shared" si="11"/>
        <v>['O']</v>
      </c>
      <c r="AE17" t="str">
        <f t="shared" si="12"/>
        <v>section(proportion, 'I/O').&lt;&gt;subsection(proportion, 'scalar').&lt;&gt;description(proportion, 'slider value from 0-1').&lt;&gt;visual_style(proportion,  visual_style3</v>
      </c>
      <c r="AF17" t="str">
        <f t="shared" si="13"/>
        <v>visual_style3</v>
      </c>
      <c r="AG17">
        <f t="shared" si="25"/>
        <v>3</v>
      </c>
      <c r="AH17" t="str">
        <f t="shared" si="14"/>
        <v>&lt;&gt;%  ===== proportion ===========&lt;&gt;section(proportion, 'I/O').&lt;&gt;subsection(proportion, 'scalar').&lt;&gt;description(proportion, 'slider value from 0-1').&lt;&gt;visual_style(proportion,  visual_style3).&lt;&gt;inputs(proportion, []).&lt;&gt;outputs(proportion, ['O']).&lt;&gt;input_types(proportion, []).&lt;&gt;output_types(proportion, [proportion]).&lt;&gt;image_name(proportion, '/img/blocks/blocksheet1_02.png').&lt;&gt;</v>
      </c>
      <c r="AI17" t="str">
        <f t="shared" si="15"/>
        <v>[</v>
      </c>
      <c r="AJ17" t="str">
        <f t="shared" si="16"/>
        <v/>
      </c>
      <c r="AK17" t="str">
        <f t="shared" si="17"/>
        <v/>
      </c>
      <c r="AL17" s="11" t="str">
        <f t="shared" si="18"/>
        <v/>
      </c>
      <c r="AM17" t="str">
        <f t="shared" si="19"/>
        <v>[proportion</v>
      </c>
      <c r="AN17" t="str">
        <f t="shared" si="20"/>
        <v/>
      </c>
      <c r="AO17" s="11" t="str">
        <f t="shared" si="21"/>
        <v/>
      </c>
      <c r="AP17" t="str">
        <f t="shared" si="22"/>
        <v>[]</v>
      </c>
      <c r="AQ17" t="str">
        <f t="shared" si="23"/>
        <v>[proportion]</v>
      </c>
      <c r="AS17">
        <v>1</v>
      </c>
      <c r="AZ17">
        <v>1</v>
      </c>
      <c r="BA17">
        <v>1</v>
      </c>
      <c r="BB17" t="s">
        <v>273</v>
      </c>
      <c r="BC17">
        <v>21</v>
      </c>
      <c r="BD17">
        <f>BD16+1</f>
        <v>1</v>
      </c>
      <c r="BE17" t="str">
        <f t="shared" si="24"/>
        <v>&lt;&gt;%  ===== proportion ===========&lt;&gt;section(proportion, 'I/O').&lt;&gt;subsection(proportion, 'scalar').&lt;&gt;description(proportion, 'slider value from 0-1').&lt;&gt;visual_style(proportion,  visual_style3).&lt;&gt;inputs(proportion, []).&lt;&gt;outputs(proportion, ['O']).&lt;&gt;input_types(proportion, []).&lt;&gt;output_types(proportion, [proportion]).&lt;&gt;image_name(proportion, '/img/blocks/blocksheet1_02.png').&lt;&gt;prototype_coordinates(proportion, 21, 1).&lt;&gt;icon_size(proportion, 1, 1).&lt;&gt;</v>
      </c>
    </row>
    <row r="18" spans="2:57" ht="14.25" customHeight="1" x14ac:dyDescent="0.2">
      <c r="C18" s="1" t="str">
        <f t="shared" si="0"/>
        <v>I/O</v>
      </c>
      <c r="D18" s="1" t="str">
        <f t="shared" si="1"/>
        <v>scalar</v>
      </c>
      <c r="E18" s="2" t="s">
        <v>40</v>
      </c>
      <c r="I18" s="3"/>
      <c r="J18" s="10"/>
      <c r="K18" s="10"/>
      <c r="L18" s="10"/>
      <c r="M18" s="10"/>
      <c r="N18" s="4" t="s">
        <v>10</v>
      </c>
      <c r="Q18" s="2" t="s">
        <v>41</v>
      </c>
      <c r="T18" s="2" t="s">
        <v>160</v>
      </c>
      <c r="U18" s="2" t="s">
        <v>42</v>
      </c>
      <c r="V18" s="9" t="str">
        <f t="shared" si="3"/>
        <v>[</v>
      </c>
      <c r="W18" s="9" t="str">
        <f t="shared" si="4"/>
        <v/>
      </c>
      <c r="X18" s="9" t="str">
        <f t="shared" si="5"/>
        <v/>
      </c>
      <c r="Y18" s="9" t="str">
        <f t="shared" si="6"/>
        <v/>
      </c>
      <c r="Z18" t="str">
        <f t="shared" si="7"/>
        <v>[]</v>
      </c>
      <c r="AA18" s="1" t="str">
        <f t="shared" si="8"/>
        <v>['O'</v>
      </c>
      <c r="AB18" t="str">
        <f t="shared" si="9"/>
        <v/>
      </c>
      <c r="AC18" t="str">
        <f t="shared" si="10"/>
        <v/>
      </c>
      <c r="AD18" t="str">
        <f t="shared" si="11"/>
        <v>['O']</v>
      </c>
      <c r="AE18" t="str">
        <f t="shared" si="12"/>
        <v>section(floatval, 'I/O').&lt;&gt;subsection(floatval, 'scalar').&lt;&gt;description(floatval, 'float value that varies over -inf to +inf').&lt;&gt;visual_style(floatval,  visual_style4</v>
      </c>
      <c r="AF18" t="str">
        <f t="shared" si="13"/>
        <v>visual_style4</v>
      </c>
      <c r="AG18">
        <f t="shared" si="25"/>
        <v>4</v>
      </c>
      <c r="AH18" t="str">
        <f t="shared" si="14"/>
        <v>&lt;&gt;%  ===== floatval ===========&lt;&gt;section(floatval, 'I/O').&lt;&gt;subsection(floatval, 'scalar').&lt;&gt;description(floatval, 'float value that varies over -inf to +inf').&lt;&gt;visual_style(floatval,  visual_style4).&lt;&gt;inputs(floatval, []).&lt;&gt;outputs(floatval, ['O']).&lt;&gt;input_types(floatval, []).&lt;&gt;output_types(floatval, [float]).&lt;&gt;image_name(floatval, '/img/blocks/blocksheet1_03.png').&lt;&gt;</v>
      </c>
      <c r="AI18" t="str">
        <f t="shared" si="15"/>
        <v>[</v>
      </c>
      <c r="AJ18" t="str">
        <f t="shared" si="16"/>
        <v/>
      </c>
      <c r="AK18" t="str">
        <f t="shared" si="17"/>
        <v/>
      </c>
      <c r="AL18" s="11" t="str">
        <f t="shared" si="18"/>
        <v/>
      </c>
      <c r="AM18" t="str">
        <f t="shared" si="19"/>
        <v>[float</v>
      </c>
      <c r="AN18" t="str">
        <f t="shared" si="20"/>
        <v/>
      </c>
      <c r="AO18" s="11" t="str">
        <f t="shared" si="21"/>
        <v/>
      </c>
      <c r="AP18" t="str">
        <f t="shared" si="22"/>
        <v>[]</v>
      </c>
      <c r="AQ18" t="str">
        <f t="shared" si="23"/>
        <v>[float]</v>
      </c>
      <c r="AS18">
        <v>1</v>
      </c>
      <c r="AZ18">
        <v>1</v>
      </c>
      <c r="BA18">
        <v>1</v>
      </c>
      <c r="BB18" t="s">
        <v>274</v>
      </c>
      <c r="BC18">
        <v>21</v>
      </c>
      <c r="BD18">
        <f>BD17+1</f>
        <v>2</v>
      </c>
      <c r="BE18" t="str">
        <f t="shared" si="24"/>
        <v>&lt;&gt;%  ===== floatval ===========&lt;&gt;section(floatval, 'I/O').&lt;&gt;subsection(floatval, 'scalar').&lt;&gt;description(floatval, 'float value that varies over -inf to +inf').&lt;&gt;visual_style(floatval,  visual_style4).&lt;&gt;inputs(floatval, []).&lt;&gt;outputs(floatval, ['O']).&lt;&gt;input_types(floatval, []).&lt;&gt;output_types(floatval, [float]).&lt;&gt;image_name(floatval, '/img/blocks/blocksheet1_03.png').&lt;&gt;prototype_coordinates(floatval, 21, 2).&lt;&gt;icon_size(floatval, 1, 1).&lt;&gt;</v>
      </c>
    </row>
    <row r="19" spans="2:57" ht="14.25" customHeight="1" x14ac:dyDescent="0.2">
      <c r="B19" s="2" t="s">
        <v>43</v>
      </c>
      <c r="C19" s="1" t="str">
        <f t="shared" si="0"/>
        <v>I/O</v>
      </c>
      <c r="D19" s="1" t="str">
        <f t="shared" si="1"/>
        <v>sound</v>
      </c>
      <c r="I19" s="3"/>
      <c r="J19" s="10"/>
      <c r="K19" s="10"/>
      <c r="L19" s="10"/>
      <c r="M19" s="10"/>
      <c r="N19" s="4"/>
      <c r="V19" s="9" t="str">
        <f t="shared" si="3"/>
        <v>[</v>
      </c>
      <c r="W19" s="9" t="str">
        <f t="shared" si="4"/>
        <v/>
      </c>
      <c r="X19" s="9" t="str">
        <f t="shared" si="5"/>
        <v/>
      </c>
      <c r="Y19" s="9" t="str">
        <f t="shared" si="6"/>
        <v/>
      </c>
      <c r="Z19" t="str">
        <f t="shared" si="7"/>
        <v>[]</v>
      </c>
      <c r="AA19" s="1" t="str">
        <f t="shared" si="8"/>
        <v>[</v>
      </c>
      <c r="AB19" t="str">
        <f t="shared" si="9"/>
        <v/>
      </c>
      <c r="AC19" t="str">
        <f t="shared" si="10"/>
        <v/>
      </c>
      <c r="AD19" t="str">
        <f t="shared" si="11"/>
        <v>[]</v>
      </c>
      <c r="AE19" t="str">
        <f t="shared" si="12"/>
        <v/>
      </c>
      <c r="AF19" t="str">
        <f t="shared" si="13"/>
        <v>visual_style5</v>
      </c>
      <c r="AG19">
        <f t="shared" si="25"/>
        <v>5</v>
      </c>
      <c r="AH19" t="str">
        <f t="shared" si="14"/>
        <v/>
      </c>
      <c r="AI19" t="str">
        <f t="shared" si="15"/>
        <v>[</v>
      </c>
      <c r="AJ19" t="str">
        <f t="shared" si="16"/>
        <v/>
      </c>
      <c r="AK19" t="str">
        <f t="shared" si="17"/>
        <v/>
      </c>
      <c r="AL19" s="11" t="str">
        <f t="shared" si="18"/>
        <v/>
      </c>
      <c r="AM19" t="str">
        <f t="shared" si="19"/>
        <v>[</v>
      </c>
      <c r="AN19" t="str">
        <f t="shared" si="20"/>
        <v/>
      </c>
      <c r="AO19" s="11" t="str">
        <f t="shared" si="21"/>
        <v/>
      </c>
      <c r="AP19" t="str">
        <f t="shared" si="22"/>
        <v>[]</v>
      </c>
      <c r="AQ19" t="str">
        <f t="shared" si="23"/>
        <v>[]</v>
      </c>
      <c r="BE19" t="str">
        <f t="shared" si="24"/>
        <v/>
      </c>
    </row>
    <row r="20" spans="2:57" ht="14.25" customHeight="1" x14ac:dyDescent="0.2">
      <c r="C20" s="1" t="str">
        <f t="shared" si="0"/>
        <v>I/O</v>
      </c>
      <c r="D20" s="1" t="str">
        <f t="shared" si="1"/>
        <v>sound</v>
      </c>
      <c r="E20" s="2" t="s">
        <v>44</v>
      </c>
      <c r="I20" s="3"/>
      <c r="J20" s="10"/>
      <c r="K20" s="10"/>
      <c r="L20" s="10"/>
      <c r="M20" s="10"/>
      <c r="N20" s="4" t="s">
        <v>10</v>
      </c>
      <c r="Q20" s="2" t="s">
        <v>146</v>
      </c>
      <c r="T20" s="2" t="s">
        <v>45</v>
      </c>
      <c r="V20" s="9" t="str">
        <f t="shared" si="3"/>
        <v>[</v>
      </c>
      <c r="W20" s="9" t="str">
        <f t="shared" si="4"/>
        <v/>
      </c>
      <c r="X20" s="9" t="str">
        <f t="shared" si="5"/>
        <v/>
      </c>
      <c r="Y20" s="9" t="str">
        <f t="shared" si="6"/>
        <v/>
      </c>
      <c r="Z20" t="str">
        <f t="shared" si="7"/>
        <v>[]</v>
      </c>
      <c r="AA20" s="1" t="str">
        <f t="shared" si="8"/>
        <v>['O'</v>
      </c>
      <c r="AB20" t="str">
        <f t="shared" si="9"/>
        <v/>
      </c>
      <c r="AC20" t="str">
        <f t="shared" si="10"/>
        <v/>
      </c>
      <c r="AD20" t="str">
        <f t="shared" si="11"/>
        <v>['O']</v>
      </c>
      <c r="AE20" t="str">
        <f t="shared" si="12"/>
        <v>section(mic, 'I/O').&lt;&gt;subsection(mic, 'sound').&lt;&gt;description(mic, 'samples from mic').&lt;&gt;visual_style(mic,  normal</v>
      </c>
      <c r="AF20" t="str">
        <f t="shared" si="13"/>
        <v>visual_style5</v>
      </c>
      <c r="AG20">
        <f t="shared" si="25"/>
        <v>5</v>
      </c>
      <c r="AH20" t="str">
        <f t="shared" si="14"/>
        <v>&lt;&gt;%  ===== mic ===========&lt;&gt;section(mic, 'I/O').&lt;&gt;subsection(mic, 'sound').&lt;&gt;description(mic, 'samples from mic').&lt;&gt;visual_style(mic,  normal).&lt;&gt;inputs(mic, []).&lt;&gt;outputs(mic, ['O']).&lt;&gt;input_types(mic, []).&lt;&gt;output_types(mic, [sample]).&lt;&gt;image_name(mic, '/img/blocks/blocksheet1_04.png').&lt;&gt;</v>
      </c>
      <c r="AI20" t="str">
        <f t="shared" si="15"/>
        <v>[</v>
      </c>
      <c r="AJ20" t="str">
        <f t="shared" si="16"/>
        <v/>
      </c>
      <c r="AK20" t="str">
        <f t="shared" si="17"/>
        <v/>
      </c>
      <c r="AL20" s="11" t="str">
        <f t="shared" si="18"/>
        <v/>
      </c>
      <c r="AM20" t="str">
        <f t="shared" si="19"/>
        <v>[sample</v>
      </c>
      <c r="AN20" t="str">
        <f t="shared" si="20"/>
        <v/>
      </c>
      <c r="AO20" s="11" t="str">
        <f t="shared" si="21"/>
        <v/>
      </c>
      <c r="AP20" t="str">
        <f t="shared" si="22"/>
        <v>[]</v>
      </c>
      <c r="AQ20" t="str">
        <f t="shared" si="23"/>
        <v>[sample]</v>
      </c>
      <c r="AS20">
        <v>1</v>
      </c>
      <c r="AZ20">
        <v>1</v>
      </c>
      <c r="BA20">
        <v>1</v>
      </c>
      <c r="BB20" t="s">
        <v>275</v>
      </c>
      <c r="BC20">
        <v>21</v>
      </c>
      <c r="BD20">
        <v>3</v>
      </c>
      <c r="BE20" t="str">
        <f t="shared" si="24"/>
        <v>&lt;&gt;%  ===== mic ===========&lt;&gt;section(mic, 'I/O').&lt;&gt;subsection(mic, 'sound').&lt;&gt;description(mic, 'samples from mic').&lt;&gt;visual_style(mic,  normal).&lt;&gt;inputs(mic, []).&lt;&gt;outputs(mic, ['O']).&lt;&gt;input_types(mic, []).&lt;&gt;output_types(mic, [sample]).&lt;&gt;image_name(mic, '/img/blocks/blocksheet1_04.png').&lt;&gt;prototype_coordinates(mic, 21, 3).&lt;&gt;icon_size(mic, 1, 1).&lt;&gt;</v>
      </c>
    </row>
    <row r="21" spans="2:57" ht="14.25" customHeight="1" x14ac:dyDescent="0.2">
      <c r="C21" s="1" t="str">
        <f t="shared" si="0"/>
        <v>I/O</v>
      </c>
      <c r="D21" s="1" t="str">
        <f t="shared" si="1"/>
        <v>sound</v>
      </c>
      <c r="E21" s="2" t="s">
        <v>46</v>
      </c>
      <c r="F21" s="2" t="s">
        <v>8</v>
      </c>
      <c r="I21" s="3"/>
      <c r="J21" s="10" t="s">
        <v>146</v>
      </c>
      <c r="K21" s="10"/>
      <c r="L21" s="10"/>
      <c r="M21" s="10"/>
      <c r="N21" s="4"/>
      <c r="T21" s="2" t="s">
        <v>47</v>
      </c>
      <c r="U21" s="2" t="s">
        <v>48</v>
      </c>
      <c r="V21" s="9" t="str">
        <f t="shared" si="3"/>
        <v>[required('A')</v>
      </c>
      <c r="W21" s="9" t="str">
        <f t="shared" si="4"/>
        <v/>
      </c>
      <c r="X21" s="9" t="str">
        <f t="shared" si="5"/>
        <v/>
      </c>
      <c r="Y21" s="9" t="str">
        <f t="shared" si="6"/>
        <v/>
      </c>
      <c r="Z21" t="str">
        <f t="shared" si="7"/>
        <v>[required('A')]</v>
      </c>
      <c r="AA21" s="1" t="str">
        <f t="shared" si="8"/>
        <v>[</v>
      </c>
      <c r="AB21" t="str">
        <f t="shared" si="9"/>
        <v/>
      </c>
      <c r="AC21" t="str">
        <f t="shared" si="10"/>
        <v/>
      </c>
      <c r="AD21" t="str">
        <f t="shared" si="11"/>
        <v>[]</v>
      </c>
      <c r="AE21" t="str">
        <f t="shared" si="12"/>
        <v>section(listen, 'I/O').&lt;&gt;subsection(listen, 'sound').&lt;&gt;description(listen, 'Sends sound to default output').&lt;&gt;visual_style(listen,  visual_style5</v>
      </c>
      <c r="AF21" t="str">
        <f t="shared" si="13"/>
        <v>visual_style5</v>
      </c>
      <c r="AG21">
        <f t="shared" si="25"/>
        <v>5</v>
      </c>
      <c r="AH21" t="str">
        <f t="shared" si="14"/>
        <v>&lt;&gt;%  ===== listen ===========&lt;&gt;section(listen, 'I/O').&lt;&gt;subsection(listen, 'sound').&lt;&gt;description(listen, 'Sends sound to default output').&lt;&gt;visual_style(listen,  visual_style5).&lt;&gt;inputs(listen, [required('A')]).&lt;&gt;outputs(listen, []).&lt;&gt;input_types(listen, [sample]).&lt;&gt;output_types(listen, []).&lt;&gt;image_name(listen, '/img/blocks/blocksheet1_05.png').&lt;&gt;</v>
      </c>
      <c r="AI21" t="str">
        <f t="shared" si="15"/>
        <v>[sample</v>
      </c>
      <c r="AJ21" t="str">
        <f t="shared" si="16"/>
        <v/>
      </c>
      <c r="AK21" t="str">
        <f t="shared" si="17"/>
        <v/>
      </c>
      <c r="AL21" s="11" t="str">
        <f t="shared" si="18"/>
        <v/>
      </c>
      <c r="AM21" t="str">
        <f t="shared" si="19"/>
        <v>[</v>
      </c>
      <c r="AN21" t="str">
        <f t="shared" si="20"/>
        <v/>
      </c>
      <c r="AO21" s="11" t="str">
        <f t="shared" si="21"/>
        <v/>
      </c>
      <c r="AP21" t="str">
        <f t="shared" si="22"/>
        <v>[sample]</v>
      </c>
      <c r="AQ21" t="str">
        <f t="shared" si="23"/>
        <v>[]</v>
      </c>
      <c r="AS21">
        <v>1</v>
      </c>
      <c r="AZ21">
        <v>1</v>
      </c>
      <c r="BA21">
        <v>1</v>
      </c>
      <c r="BB21" t="s">
        <v>276</v>
      </c>
      <c r="BC21">
        <v>21</v>
      </c>
      <c r="BD21">
        <v>4</v>
      </c>
      <c r="BE21" t="str">
        <f t="shared" si="24"/>
        <v>&lt;&gt;%  ===== listen ===========&lt;&gt;section(listen, 'I/O').&lt;&gt;subsection(listen, 'sound').&lt;&gt;description(listen, 'Sends sound to default output').&lt;&gt;visual_style(listen,  visual_style5).&lt;&gt;inputs(listen, [required('A')]).&lt;&gt;outputs(listen, []).&lt;&gt;input_types(listen, [sample]).&lt;&gt;output_types(listen, []).&lt;&gt;image_name(listen, '/img/blocks/blocksheet1_05.png').&lt;&gt;prototype_coordinates(listen, 21, 4).&lt;&gt;icon_size(listen, 1, 1).&lt;&gt;</v>
      </c>
    </row>
    <row r="22" spans="2:57" ht="14.25" customHeight="1" x14ac:dyDescent="0.2">
      <c r="B22" s="2" t="s">
        <v>49</v>
      </c>
      <c r="C22" s="1" t="str">
        <f t="shared" si="0"/>
        <v>I/O</v>
      </c>
      <c r="D22" s="1" t="str">
        <f t="shared" si="1"/>
        <v>imaging</v>
      </c>
      <c r="I22" s="3"/>
      <c r="J22" s="10"/>
      <c r="K22" s="10"/>
      <c r="L22" s="10"/>
      <c r="M22" s="10"/>
      <c r="N22" s="4"/>
      <c r="V22" s="9" t="str">
        <f t="shared" si="3"/>
        <v>[</v>
      </c>
      <c r="W22" s="9" t="str">
        <f t="shared" si="4"/>
        <v/>
      </c>
      <c r="X22" s="9" t="str">
        <f t="shared" si="5"/>
        <v/>
      </c>
      <c r="Y22" s="9" t="str">
        <f t="shared" si="6"/>
        <v/>
      </c>
      <c r="Z22" t="str">
        <f t="shared" si="7"/>
        <v>[]</v>
      </c>
      <c r="AA22" s="1" t="str">
        <f t="shared" si="8"/>
        <v>[</v>
      </c>
      <c r="AB22" t="str">
        <f t="shared" si="9"/>
        <v/>
      </c>
      <c r="AC22" t="str">
        <f t="shared" si="10"/>
        <v/>
      </c>
      <c r="AD22" t="str">
        <f t="shared" si="11"/>
        <v>[]</v>
      </c>
      <c r="AE22" t="str">
        <f t="shared" si="12"/>
        <v/>
      </c>
      <c r="AF22" t="str">
        <f t="shared" si="13"/>
        <v>visual_style6</v>
      </c>
      <c r="AG22">
        <f t="shared" si="25"/>
        <v>6</v>
      </c>
      <c r="AH22" t="str">
        <f t="shared" si="14"/>
        <v/>
      </c>
      <c r="AI22" t="str">
        <f t="shared" si="15"/>
        <v>[</v>
      </c>
      <c r="AJ22" t="str">
        <f t="shared" si="16"/>
        <v/>
      </c>
      <c r="AK22" t="str">
        <f t="shared" si="17"/>
        <v/>
      </c>
      <c r="AL22" s="11" t="str">
        <f t="shared" si="18"/>
        <v/>
      </c>
      <c r="AM22" t="str">
        <f t="shared" si="19"/>
        <v>[</v>
      </c>
      <c r="AN22" t="str">
        <f t="shared" si="20"/>
        <v/>
      </c>
      <c r="AO22" s="11" t="str">
        <f t="shared" si="21"/>
        <v/>
      </c>
      <c r="AP22" t="str">
        <f t="shared" si="22"/>
        <v>[]</v>
      </c>
      <c r="AQ22" t="str">
        <f t="shared" si="23"/>
        <v>[]</v>
      </c>
      <c r="BE22" t="str">
        <f t="shared" si="24"/>
        <v/>
      </c>
    </row>
    <row r="23" spans="2:57" ht="14.25" customHeight="1" x14ac:dyDescent="0.2">
      <c r="C23" s="1" t="str">
        <f t="shared" si="0"/>
        <v>I/O</v>
      </c>
      <c r="D23" s="1" t="str">
        <f t="shared" si="1"/>
        <v>imaging</v>
      </c>
      <c r="E23" s="2" t="s">
        <v>50</v>
      </c>
      <c r="I23" s="3"/>
      <c r="J23" s="10"/>
      <c r="K23" s="10"/>
      <c r="L23" s="10"/>
      <c r="M23" s="10"/>
      <c r="N23" s="4" t="s">
        <v>10</v>
      </c>
      <c r="O23" s="2" t="s">
        <v>16</v>
      </c>
      <c r="Q23" s="2" t="s">
        <v>139</v>
      </c>
      <c r="R23" s="2" t="s">
        <v>135</v>
      </c>
      <c r="T23" s="2" t="s">
        <v>51</v>
      </c>
      <c r="U23" s="2" t="s">
        <v>52</v>
      </c>
      <c r="V23" s="9" t="str">
        <f t="shared" si="3"/>
        <v>[</v>
      </c>
      <c r="W23" s="9" t="str">
        <f t="shared" si="4"/>
        <v/>
      </c>
      <c r="X23" s="9" t="str">
        <f t="shared" si="5"/>
        <v/>
      </c>
      <c r="Y23" s="9" t="str">
        <f t="shared" si="6"/>
        <v/>
      </c>
      <c r="Z23" t="str">
        <f t="shared" si="7"/>
        <v>[]</v>
      </c>
      <c r="AA23" s="1" t="str">
        <f t="shared" si="8"/>
        <v>['O'</v>
      </c>
      <c r="AB23" t="str">
        <f t="shared" si="9"/>
        <v>, 'K'</v>
      </c>
      <c r="AC23" t="str">
        <f t="shared" si="10"/>
        <v/>
      </c>
      <c r="AD23" t="str">
        <f t="shared" si="11"/>
        <v>['O', 'K']</v>
      </c>
      <c r="AE23" t="str">
        <f t="shared" si="12"/>
        <v>section(camera, 'I/O').&lt;&gt;subsection(camera, 'imaging').&lt;&gt;description(camera, 'O is frames out of camera, K is camera intrinsics').&lt;&gt;visual_style(camera,  visual_style6</v>
      </c>
      <c r="AF23" t="str">
        <f t="shared" si="13"/>
        <v>visual_style6</v>
      </c>
      <c r="AG23">
        <f t="shared" si="25"/>
        <v>6</v>
      </c>
      <c r="AH23" t="str">
        <f t="shared" si="14"/>
        <v>&lt;&gt;%  ===== camera ===========&lt;&gt;section(camera, 'I/O').&lt;&gt;subsection(camera, 'imaging').&lt;&gt;description(camera, 'O is frames out of camera, K is camera intrinsics').&lt;&gt;visual_style(camera,  visual_style6).&lt;&gt;inputs(camera, []).&lt;&gt;outputs(camera, ['O', 'K']).&lt;&gt;input_types(camera, []).&lt;&gt;output_types(camera, [rgb, intrinsics]).&lt;&gt;image_name(camera, '/img/blocks/blocksheet1_06.png').&lt;&gt;</v>
      </c>
      <c r="AI23" t="str">
        <f t="shared" si="15"/>
        <v>[</v>
      </c>
      <c r="AJ23" t="str">
        <f t="shared" si="16"/>
        <v/>
      </c>
      <c r="AK23" t="str">
        <f t="shared" si="17"/>
        <v/>
      </c>
      <c r="AL23" s="11" t="str">
        <f t="shared" si="18"/>
        <v/>
      </c>
      <c r="AM23" t="str">
        <f t="shared" si="19"/>
        <v>[rgb</v>
      </c>
      <c r="AN23" t="str">
        <f t="shared" si="20"/>
        <v>, intrinsics</v>
      </c>
      <c r="AO23" s="11" t="str">
        <f t="shared" si="21"/>
        <v/>
      </c>
      <c r="AP23" t="str">
        <f t="shared" si="22"/>
        <v>[]</v>
      </c>
      <c r="AQ23" t="str">
        <f t="shared" si="23"/>
        <v>[rgb, intrinsics]</v>
      </c>
      <c r="AS23">
        <v>1</v>
      </c>
      <c r="AZ23">
        <v>1</v>
      </c>
      <c r="BA23">
        <v>1</v>
      </c>
      <c r="BB23" t="s">
        <v>277</v>
      </c>
      <c r="BC23">
        <v>21</v>
      </c>
      <c r="BD23">
        <v>5</v>
      </c>
      <c r="BE23" t="str">
        <f t="shared" si="24"/>
        <v>&lt;&gt;%  ===== camera ===========&lt;&gt;section(camera, 'I/O').&lt;&gt;subsection(camera, 'imaging').&lt;&gt;description(camera, 'O is frames out of camera, K is camera intrinsics').&lt;&gt;visual_style(camera,  visual_style6).&lt;&gt;inputs(camera, []).&lt;&gt;outputs(camera, ['O', 'K']).&lt;&gt;input_types(camera, []).&lt;&gt;output_types(camera, [rgb, intrinsics]).&lt;&gt;image_name(camera, '/img/blocks/blocksheet1_06.png').&lt;&gt;prototype_coordinates(camera, 21, 5).&lt;&gt;icon_size(camera, 1, 1).&lt;&gt;</v>
      </c>
    </row>
    <row r="24" spans="2:57" ht="14.25" customHeight="1" x14ac:dyDescent="0.2">
      <c r="C24" s="1" t="str">
        <f t="shared" si="0"/>
        <v>I/O</v>
      </c>
      <c r="D24" s="1" t="str">
        <f t="shared" si="1"/>
        <v>imaging</v>
      </c>
      <c r="E24" s="2" t="s">
        <v>53</v>
      </c>
      <c r="F24" s="2" t="s">
        <v>54</v>
      </c>
      <c r="G24" s="2" t="s">
        <v>55</v>
      </c>
      <c r="I24" s="3"/>
      <c r="J24" s="10" t="s">
        <v>37</v>
      </c>
      <c r="K24" s="10" t="s">
        <v>37</v>
      </c>
      <c r="L24" s="10"/>
      <c r="M24" s="10"/>
      <c r="N24" s="4" t="s">
        <v>56</v>
      </c>
      <c r="O24" s="2" t="s">
        <v>57</v>
      </c>
      <c r="Q24" s="2" t="s">
        <v>139</v>
      </c>
      <c r="R24" s="2" t="s">
        <v>139</v>
      </c>
      <c r="T24" s="2" t="s">
        <v>58</v>
      </c>
      <c r="V24" s="9" t="str">
        <f t="shared" si="3"/>
        <v>[required('x')</v>
      </c>
      <c r="W24" s="9" t="str">
        <f t="shared" si="4"/>
        <v>, required('y')</v>
      </c>
      <c r="X24" s="9" t="str">
        <f t="shared" si="5"/>
        <v/>
      </c>
      <c r="Y24" s="9" t="str">
        <f t="shared" si="6"/>
        <v/>
      </c>
      <c r="Z24" t="str">
        <f t="shared" si="7"/>
        <v>[required('x'), required('y')]</v>
      </c>
      <c r="AA24" s="1" t="str">
        <f t="shared" si="8"/>
        <v>['OL'</v>
      </c>
      <c r="AB24" t="str">
        <f t="shared" si="9"/>
        <v>, 'OR'</v>
      </c>
      <c r="AC24" t="str">
        <f t="shared" si="10"/>
        <v/>
      </c>
      <c r="AD24" t="str">
        <f t="shared" si="11"/>
        <v>['OL', 'OR']</v>
      </c>
      <c r="AE24" t="str">
        <f t="shared" si="12"/>
        <v>section(eyes, 'I/O').&lt;&gt;subsection(eyes, 'imaging').&lt;&gt;description(eyes, 'input is commanded eye position, output is left and right eye cams').&lt;&gt;visual_style(eyes,  normal</v>
      </c>
      <c r="AF24" t="str">
        <f t="shared" si="13"/>
        <v>visual_style7</v>
      </c>
      <c r="AG24">
        <f t="shared" si="25"/>
        <v>7</v>
      </c>
      <c r="AH24" t="str">
        <f t="shared" si="14"/>
        <v>&lt;&gt;%  ===== eyes ===========&lt;&gt;section(eyes, 'I/O').&lt;&gt;subsection(eyes, 'imaging').&lt;&gt;description(eyes, 'input is commanded eye position, output is left and right eye cams').&lt;&gt;visual_style(eyes,  normal).&lt;&gt;inputs(eyes, [required('x'), required('y')]).&lt;&gt;outputs(eyes, ['OL', 'OR']).&lt;&gt;input_types(eyes, [proportion, proportion]).&lt;&gt;output_types(eyes, [rgb, rgb]).&lt;&gt;image_name(eyes, '/img/blocks/blocksheet1_07.png').&lt;&gt;</v>
      </c>
      <c r="AI24" t="str">
        <f t="shared" si="15"/>
        <v>[proportion</v>
      </c>
      <c r="AJ24" t="str">
        <f t="shared" si="16"/>
        <v>, proportion</v>
      </c>
      <c r="AK24" t="str">
        <f t="shared" si="17"/>
        <v/>
      </c>
      <c r="AL24" s="11" t="str">
        <f t="shared" si="18"/>
        <v/>
      </c>
      <c r="AM24" t="str">
        <f t="shared" si="19"/>
        <v>[rgb</v>
      </c>
      <c r="AN24" t="str">
        <f t="shared" si="20"/>
        <v>, rgb</v>
      </c>
      <c r="AO24" s="11" t="str">
        <f t="shared" si="21"/>
        <v/>
      </c>
      <c r="AP24" t="str">
        <f t="shared" si="22"/>
        <v>[proportion, proportion]</v>
      </c>
      <c r="AQ24" t="str">
        <f t="shared" si="23"/>
        <v>[rgb, rgb]</v>
      </c>
      <c r="AS24">
        <v>1</v>
      </c>
      <c r="AZ24">
        <v>2</v>
      </c>
      <c r="BA24">
        <v>1</v>
      </c>
      <c r="BB24" t="s">
        <v>278</v>
      </c>
      <c r="BC24">
        <v>21</v>
      </c>
      <c r="BD24">
        <v>6</v>
      </c>
      <c r="BE24" t="str">
        <f t="shared" si="24"/>
        <v>&lt;&gt;%  ===== eyes ===========&lt;&gt;section(eyes, 'I/O').&lt;&gt;subsection(eyes, 'imaging').&lt;&gt;description(eyes, 'input is commanded eye position, output is left and right eye cams').&lt;&gt;visual_style(eyes,  normal).&lt;&gt;inputs(eyes, [required('x'), required('y')]).&lt;&gt;outputs(eyes, ['OL', 'OR']).&lt;&gt;input_types(eyes, [proportion, proportion]).&lt;&gt;output_types(eyes, [rgb, rgb]).&lt;&gt;image_name(eyes, '/img/blocks/blocksheet1_07.png').&lt;&gt;prototype_coordinates(eyes, 21, 6).&lt;&gt;icon_size(eyes, 2, 1).&lt;&gt;</v>
      </c>
    </row>
    <row r="25" spans="2:57" ht="14.25" customHeight="1" x14ac:dyDescent="0.2">
      <c r="C25" s="1" t="str">
        <f t="shared" si="0"/>
        <v>I/O</v>
      </c>
      <c r="D25" s="1" t="str">
        <f t="shared" si="1"/>
        <v>imaging</v>
      </c>
      <c r="E25" s="2" t="s">
        <v>59</v>
      </c>
      <c r="I25" s="3"/>
      <c r="J25" s="10"/>
      <c r="K25" s="10"/>
      <c r="L25" s="10"/>
      <c r="M25" s="10"/>
      <c r="N25" s="4" t="s">
        <v>10</v>
      </c>
      <c r="O25" s="2" t="s">
        <v>60</v>
      </c>
      <c r="Q25" s="2" t="s">
        <v>139</v>
      </c>
      <c r="R25" s="2" t="s">
        <v>146</v>
      </c>
      <c r="T25" s="2" t="s">
        <v>61</v>
      </c>
      <c r="U25" s="2" t="s">
        <v>62</v>
      </c>
      <c r="V25" s="9" t="str">
        <f t="shared" si="3"/>
        <v>[</v>
      </c>
      <c r="W25" s="9" t="str">
        <f t="shared" si="4"/>
        <v/>
      </c>
      <c r="X25" s="9" t="str">
        <f t="shared" si="5"/>
        <v/>
      </c>
      <c r="Y25" s="9" t="str">
        <f t="shared" si="6"/>
        <v/>
      </c>
      <c r="Z25" t="str">
        <f t="shared" si="7"/>
        <v>[]</v>
      </c>
      <c r="AA25" s="1" t="str">
        <f t="shared" si="8"/>
        <v>['O'</v>
      </c>
      <c r="AB25" t="str">
        <f t="shared" si="9"/>
        <v>, 'S'</v>
      </c>
      <c r="AC25" t="str">
        <f t="shared" si="10"/>
        <v/>
      </c>
      <c r="AD25" t="str">
        <f t="shared" si="11"/>
        <v>['O', 'S']</v>
      </c>
      <c r="AE25" t="str">
        <f t="shared" si="12"/>
        <v>section(videoplayer, 'I/O').&lt;&gt;subsection(videoplayer, 'imaging').&lt;&gt;description(videoplayer, 'Sends frames out O, sound out S').&lt;&gt;visual_style(videoplayer,  visual_style7</v>
      </c>
      <c r="AF25" t="str">
        <f t="shared" si="13"/>
        <v>visual_style7</v>
      </c>
      <c r="AG25">
        <f t="shared" si="25"/>
        <v>7</v>
      </c>
      <c r="AH25" t="str">
        <f t="shared" si="14"/>
        <v>&lt;&gt;%  ===== videoplayer ===========&lt;&gt;section(videoplayer, 'I/O').&lt;&gt;subsection(videoplayer, 'imaging').&lt;&gt;description(videoplayer, 'Sends frames out O, sound out S').&lt;&gt;visual_style(videoplayer,  visual_style7).&lt;&gt;inputs(videoplayer, []).&lt;&gt;outputs(videoplayer, ['O', 'S']).&lt;&gt;input_types(videoplayer, []).&lt;&gt;output_types(videoplayer, [rgb, sample]).&lt;&gt;</v>
      </c>
      <c r="AI25" t="str">
        <f t="shared" si="15"/>
        <v>[</v>
      </c>
      <c r="AJ25" t="str">
        <f t="shared" si="16"/>
        <v/>
      </c>
      <c r="AK25" t="str">
        <f t="shared" si="17"/>
        <v/>
      </c>
      <c r="AL25" s="11" t="str">
        <f t="shared" si="18"/>
        <v/>
      </c>
      <c r="AM25" t="str">
        <f t="shared" si="19"/>
        <v>[rgb</v>
      </c>
      <c r="AN25" t="str">
        <f t="shared" si="20"/>
        <v>, sample</v>
      </c>
      <c r="AO25" s="11" t="str">
        <f t="shared" si="21"/>
        <v/>
      </c>
      <c r="AP25" t="str">
        <f t="shared" si="22"/>
        <v>[]</v>
      </c>
      <c r="AQ25" t="str">
        <f t="shared" si="23"/>
        <v>[rgb, sample]</v>
      </c>
      <c r="AS25">
        <v>1</v>
      </c>
      <c r="BE25" t="str">
        <f t="shared" si="24"/>
        <v>&lt;&gt;%  ===== videoplayer ===========&lt;&gt;section(videoplayer, 'I/O').&lt;&gt;subsection(videoplayer, 'imaging').&lt;&gt;description(videoplayer, 'Sends frames out O, sound out S').&lt;&gt;visual_style(videoplayer,  visual_style7).&lt;&gt;inputs(videoplayer, []).&lt;&gt;outputs(videoplayer, ['O', 'S']).&lt;&gt;input_types(videoplayer, []).&lt;&gt;output_types(videoplayer, [rgb, sample]).&lt;&gt;</v>
      </c>
    </row>
    <row r="26" spans="2:57" ht="14.25" customHeight="1" x14ac:dyDescent="0.2">
      <c r="C26" s="1" t="str">
        <f t="shared" si="0"/>
        <v>I/O</v>
      </c>
      <c r="D26" s="1" t="str">
        <f t="shared" si="1"/>
        <v>imaging</v>
      </c>
      <c r="E26" s="2" t="s">
        <v>63</v>
      </c>
      <c r="F26" s="2" t="s">
        <v>64</v>
      </c>
      <c r="G26" s="2" t="s">
        <v>65</v>
      </c>
      <c r="I26" s="3"/>
      <c r="J26" s="10" t="s">
        <v>136</v>
      </c>
      <c r="K26" s="10" t="s">
        <v>146</v>
      </c>
      <c r="L26" s="10"/>
      <c r="M26" s="10"/>
      <c r="N26" s="4"/>
      <c r="T26" s="2" t="s">
        <v>154</v>
      </c>
      <c r="U26" s="2" t="s">
        <v>66</v>
      </c>
      <c r="V26" s="9" t="str">
        <f t="shared" si="3"/>
        <v>[optional('Vid')</v>
      </c>
      <c r="W26" s="9" t="str">
        <f t="shared" si="4"/>
        <v>, optional('Snd')</v>
      </c>
      <c r="X26" s="9" t="str">
        <f t="shared" si="5"/>
        <v/>
      </c>
      <c r="Y26" s="9" t="str">
        <f t="shared" si="6"/>
        <v/>
      </c>
      <c r="Z26" t="str">
        <f t="shared" si="7"/>
        <v>[optional('Vid'), optional('Snd')]</v>
      </c>
      <c r="AA26" s="1" t="str">
        <f t="shared" si="8"/>
        <v>[</v>
      </c>
      <c r="AB26" t="str">
        <f t="shared" si="9"/>
        <v/>
      </c>
      <c r="AC26" t="str">
        <f t="shared" si="10"/>
        <v/>
      </c>
      <c r="AD26" t="str">
        <f t="shared" si="11"/>
        <v>[]</v>
      </c>
      <c r="AE26" t="str">
        <f t="shared" si="12"/>
        <v>section(videorecord, 'I/O').&lt;&gt;subsection(videorecord, 'imaging').&lt;&gt;description(videorecord, 'Records frames to file. Figures out what to record from filetype and what\'s connected.').&lt;&gt;visual_style(videorecord,  visual_style8</v>
      </c>
      <c r="AF26" t="str">
        <f t="shared" si="13"/>
        <v>visual_style8</v>
      </c>
      <c r="AG26">
        <f t="shared" si="25"/>
        <v>8</v>
      </c>
      <c r="AH26" t="str">
        <f t="shared" si="14"/>
        <v>&lt;&gt;%  ===== videorecord ===========&lt;&gt;section(videorecord, 'I/O').&lt;&gt;subsection(videorecord, 'imaging').&lt;&gt;description(videorecord, 'Records frames to file. Figures out what to record from filetype and what\'s connected.').&lt;&gt;visual_style(videorecord,  visual_style8).&lt;&gt;inputs(videorecord, [optional('Vid'), optional('Snd')]).&lt;&gt;outputs(videorecord, []).&lt;&gt;input_types(videorecord, [image, sample]).&lt;&gt;output_types(videorecord, []).&lt;&gt;</v>
      </c>
      <c r="AI26" t="str">
        <f t="shared" si="15"/>
        <v>[image</v>
      </c>
      <c r="AJ26" t="str">
        <f t="shared" si="16"/>
        <v>, sample</v>
      </c>
      <c r="AK26" t="str">
        <f t="shared" si="17"/>
        <v/>
      </c>
      <c r="AL26" s="11" t="str">
        <f t="shared" si="18"/>
        <v/>
      </c>
      <c r="AM26" t="str">
        <f t="shared" si="19"/>
        <v>[</v>
      </c>
      <c r="AN26" t="str">
        <f t="shared" si="20"/>
        <v/>
      </c>
      <c r="AO26" s="11" t="str">
        <f t="shared" si="21"/>
        <v/>
      </c>
      <c r="AP26" t="str">
        <f t="shared" si="22"/>
        <v>[image, sample]</v>
      </c>
      <c r="AQ26" t="str">
        <f t="shared" si="23"/>
        <v>[]</v>
      </c>
      <c r="AS26">
        <v>1</v>
      </c>
      <c r="BE26" t="str">
        <f t="shared" si="24"/>
        <v>&lt;&gt;%  ===== videorecord ===========&lt;&gt;section(videorecord, 'I/O').&lt;&gt;subsection(videorecord, 'imaging').&lt;&gt;description(videorecord, 'Records frames to file. Figures out what to record from filetype and what\'s connected.').&lt;&gt;visual_style(videorecord,  visual_style8).&lt;&gt;inputs(videorecord, [optional('Vid'), optional('Snd')]).&lt;&gt;outputs(videorecord, []).&lt;&gt;input_types(videorecord, [image, sample]).&lt;&gt;output_types(videorecord, []).&lt;&gt;</v>
      </c>
    </row>
    <row r="27" spans="2:57" ht="14.25" customHeight="1" x14ac:dyDescent="0.2">
      <c r="C27" s="1" t="str">
        <f t="shared" si="0"/>
        <v>I/O</v>
      </c>
      <c r="D27" s="1" t="str">
        <f t="shared" si="1"/>
        <v>imaging</v>
      </c>
      <c r="E27" s="2" t="s">
        <v>67</v>
      </c>
      <c r="F27" s="2" t="s">
        <v>8</v>
      </c>
      <c r="I27" s="3"/>
      <c r="J27" s="10" t="s">
        <v>146</v>
      </c>
      <c r="K27" s="10"/>
      <c r="L27" s="10"/>
      <c r="M27" s="10"/>
      <c r="N27" s="4"/>
      <c r="T27" s="2" t="s">
        <v>68</v>
      </c>
      <c r="U27" s="2" t="s">
        <v>67</v>
      </c>
      <c r="V27" s="9" t="str">
        <f t="shared" si="3"/>
        <v>[required('A')</v>
      </c>
      <c r="W27" s="9" t="str">
        <f t="shared" si="4"/>
        <v/>
      </c>
      <c r="X27" s="9" t="str">
        <f t="shared" si="5"/>
        <v/>
      </c>
      <c r="Y27" s="9" t="str">
        <f t="shared" si="6"/>
        <v/>
      </c>
      <c r="Z27" t="str">
        <f t="shared" si="7"/>
        <v>[required('A')]</v>
      </c>
      <c r="AA27" s="1" t="str">
        <f t="shared" si="8"/>
        <v>[</v>
      </c>
      <c r="AB27" t="str">
        <f t="shared" si="9"/>
        <v/>
      </c>
      <c r="AC27" t="str">
        <f t="shared" si="10"/>
        <v/>
      </c>
      <c r="AD27" t="str">
        <f t="shared" si="11"/>
        <v>[]</v>
      </c>
      <c r="AE27" t="str">
        <f t="shared" si="12"/>
        <v>section(spectrum, 'I/O').&lt;&gt;subsection(spectrum, 'imaging').&lt;&gt;description(spectrum, 'dancing spectrum display').&lt;&gt;visual_style(spectrum,  visual_style9</v>
      </c>
      <c r="AF27" t="str">
        <f t="shared" si="13"/>
        <v>visual_style9</v>
      </c>
      <c r="AG27">
        <f t="shared" si="25"/>
        <v>9</v>
      </c>
      <c r="AH27" t="str">
        <f t="shared" si="14"/>
        <v>&lt;&gt;%  ===== spectrum ===========&lt;&gt;section(spectrum, 'I/O').&lt;&gt;subsection(spectrum, 'imaging').&lt;&gt;description(spectrum, 'dancing spectrum display').&lt;&gt;visual_style(spectrum,  visual_style9).&lt;&gt;inputs(spectrum, [required('A')]).&lt;&gt;outputs(spectrum, []).&lt;&gt;input_types(spectrum, [sample]).&lt;&gt;output_types(spectrum, []).&lt;&gt;image_name(spectrum, '/img/blocks/blocksheet1_09.png').&lt;&gt;</v>
      </c>
      <c r="AI27" t="str">
        <f t="shared" si="15"/>
        <v>[sample</v>
      </c>
      <c r="AJ27" t="str">
        <f t="shared" si="16"/>
        <v/>
      </c>
      <c r="AK27" t="str">
        <f t="shared" si="17"/>
        <v/>
      </c>
      <c r="AL27" s="11" t="str">
        <f t="shared" si="18"/>
        <v/>
      </c>
      <c r="AM27" t="str">
        <f t="shared" si="19"/>
        <v>[</v>
      </c>
      <c r="AN27" t="str">
        <f t="shared" si="20"/>
        <v/>
      </c>
      <c r="AO27" s="11" t="str">
        <f t="shared" si="21"/>
        <v/>
      </c>
      <c r="AP27" t="str">
        <f t="shared" si="22"/>
        <v>[sample]</v>
      </c>
      <c r="AQ27" t="str">
        <f t="shared" si="23"/>
        <v>[]</v>
      </c>
      <c r="AS27">
        <v>1</v>
      </c>
      <c r="AZ27">
        <v>1</v>
      </c>
      <c r="BA27">
        <v>1</v>
      </c>
      <c r="BB27" t="s">
        <v>279</v>
      </c>
      <c r="BC27">
        <v>21</v>
      </c>
      <c r="BD27">
        <v>7</v>
      </c>
      <c r="BE27" t="str">
        <f t="shared" si="24"/>
        <v>&lt;&gt;%  ===== spectrum ===========&lt;&gt;section(spectrum, 'I/O').&lt;&gt;subsection(spectrum, 'imaging').&lt;&gt;description(spectrum, 'dancing spectrum display').&lt;&gt;visual_style(spectrum,  visual_style9).&lt;&gt;inputs(spectrum, [required('A')]).&lt;&gt;outputs(spectrum, []).&lt;&gt;input_types(spectrum, [sample]).&lt;&gt;output_types(spectrum, []).&lt;&gt;image_name(spectrum, '/img/blocks/blocksheet1_09.png').&lt;&gt;prototype_coordinates(spectrum, 21, 7).&lt;&gt;icon_size(spectrum, 1, 1).&lt;&gt;</v>
      </c>
    </row>
    <row r="28" spans="2:57" ht="14.25" customHeight="1" x14ac:dyDescent="0.2">
      <c r="C28" s="1" t="str">
        <f t="shared" si="0"/>
        <v>I/O</v>
      </c>
      <c r="D28" s="1" t="str">
        <f t="shared" si="1"/>
        <v>imaging</v>
      </c>
      <c r="E28" s="2" t="s">
        <v>155</v>
      </c>
      <c r="I28" s="3"/>
      <c r="J28" s="10"/>
      <c r="K28" s="10"/>
      <c r="L28" s="10"/>
      <c r="M28" s="10"/>
      <c r="N28" s="4" t="s">
        <v>10</v>
      </c>
      <c r="Q28" s="2" t="s">
        <v>139</v>
      </c>
      <c r="T28" s="2" t="s">
        <v>69</v>
      </c>
      <c r="U28" s="2" t="s">
        <v>70</v>
      </c>
      <c r="V28" s="9" t="str">
        <f t="shared" si="3"/>
        <v>[</v>
      </c>
      <c r="W28" s="9" t="str">
        <f t="shared" si="4"/>
        <v/>
      </c>
      <c r="X28" s="9" t="str">
        <f t="shared" si="5"/>
        <v/>
      </c>
      <c r="Y28" s="9" t="str">
        <f t="shared" si="6"/>
        <v/>
      </c>
      <c r="Z28" t="str">
        <f t="shared" si="7"/>
        <v>[]</v>
      </c>
      <c r="AA28" s="1" t="str">
        <f t="shared" si="8"/>
        <v>['O'</v>
      </c>
      <c r="AB28" t="str">
        <f t="shared" si="9"/>
        <v/>
      </c>
      <c r="AC28" t="str">
        <f t="shared" si="10"/>
        <v/>
      </c>
      <c r="AD28" t="str">
        <f t="shared" si="11"/>
        <v>['O']</v>
      </c>
      <c r="AE28" t="str">
        <f t="shared" si="12"/>
        <v>section(draw_tool, 'I/O').&lt;&gt;subsection(draw_tool, 'imaging').&lt;&gt;description(draw_tool, 'output frame each time updated').&lt;&gt;visual_style(draw_tool,  visual_style10</v>
      </c>
      <c r="AF28" t="str">
        <f t="shared" si="13"/>
        <v>visual_style10</v>
      </c>
      <c r="AG28">
        <f t="shared" si="25"/>
        <v>10</v>
      </c>
      <c r="AH28" t="str">
        <f t="shared" si="14"/>
        <v>&lt;&gt;%  ===== draw_tool ===========&lt;&gt;section(draw_tool, 'I/O').&lt;&gt;subsection(draw_tool, 'imaging').&lt;&gt;description(draw_tool, 'output frame each time updated').&lt;&gt;visual_style(draw_tool,  visual_style10).&lt;&gt;inputs(draw_tool, []).&lt;&gt;outputs(draw_tool, ['O']).&lt;&gt;input_types(draw_tool, []).&lt;&gt;output_types(draw_tool, [rgb]).&lt;&gt;</v>
      </c>
      <c r="AI28" t="str">
        <f t="shared" si="15"/>
        <v>[</v>
      </c>
      <c r="AJ28" t="str">
        <f t="shared" si="16"/>
        <v/>
      </c>
      <c r="AK28" t="str">
        <f t="shared" si="17"/>
        <v/>
      </c>
      <c r="AL28" s="11" t="str">
        <f t="shared" si="18"/>
        <v/>
      </c>
      <c r="AM28" t="str">
        <f t="shared" si="19"/>
        <v>[rgb</v>
      </c>
      <c r="AN28" t="str">
        <f t="shared" si="20"/>
        <v/>
      </c>
      <c r="AO28" s="11" t="str">
        <f t="shared" si="21"/>
        <v/>
      </c>
      <c r="AP28" t="str">
        <f t="shared" si="22"/>
        <v>[]</v>
      </c>
      <c r="AQ28" t="str">
        <f t="shared" si="23"/>
        <v>[rgb]</v>
      </c>
      <c r="AS28">
        <v>1</v>
      </c>
      <c r="BE28" t="str">
        <f t="shared" si="24"/>
        <v>&lt;&gt;%  ===== draw_tool ===========&lt;&gt;section(draw_tool, 'I/O').&lt;&gt;subsection(draw_tool, 'imaging').&lt;&gt;description(draw_tool, 'output frame each time updated').&lt;&gt;visual_style(draw_tool,  visual_style10).&lt;&gt;inputs(draw_tool, []).&lt;&gt;outputs(draw_tool, ['O']).&lt;&gt;input_types(draw_tool, []).&lt;&gt;output_types(draw_tool, [rgb]).&lt;&gt;</v>
      </c>
    </row>
    <row r="29" spans="2:57" ht="14.25" customHeight="1" x14ac:dyDescent="0.2">
      <c r="C29" s="1" t="str">
        <f t="shared" si="0"/>
        <v>I/O</v>
      </c>
      <c r="D29" s="1" t="str">
        <f t="shared" si="1"/>
        <v>imaging</v>
      </c>
      <c r="E29" s="2" t="s">
        <v>71</v>
      </c>
      <c r="F29" s="2" t="s">
        <v>8</v>
      </c>
      <c r="I29" s="3"/>
      <c r="J29" s="10" t="s">
        <v>136</v>
      </c>
      <c r="K29" s="10"/>
      <c r="L29" s="10"/>
      <c r="M29" s="10"/>
      <c r="N29" s="4"/>
      <c r="T29" s="2" t="s">
        <v>72</v>
      </c>
      <c r="U29" s="2" t="s">
        <v>73</v>
      </c>
      <c r="V29" s="9" t="str">
        <f t="shared" si="3"/>
        <v>[required('A')</v>
      </c>
      <c r="W29" s="9" t="str">
        <f t="shared" si="4"/>
        <v/>
      </c>
      <c r="X29" s="9" t="str">
        <f t="shared" si="5"/>
        <v/>
      </c>
      <c r="Y29" s="9" t="str">
        <f t="shared" si="6"/>
        <v/>
      </c>
      <c r="Z29" t="str">
        <f t="shared" si="7"/>
        <v>[required('A')]</v>
      </c>
      <c r="AA29" s="1" t="str">
        <f t="shared" si="8"/>
        <v>[</v>
      </c>
      <c r="AB29" t="str">
        <f t="shared" si="9"/>
        <v/>
      </c>
      <c r="AC29" t="str">
        <f t="shared" si="10"/>
        <v/>
      </c>
      <c r="AD29" t="str">
        <f t="shared" si="11"/>
        <v>[]</v>
      </c>
      <c r="AE29" t="str">
        <f t="shared" si="12"/>
        <v>section(viewer, 'I/O').&lt;&gt;subsection(viewer, 'imaging').&lt;&gt;description(viewer, 'displays image').&lt;&gt;visual_style(viewer,  visual_style11</v>
      </c>
      <c r="AF29" t="str">
        <f t="shared" si="13"/>
        <v>visual_style11</v>
      </c>
      <c r="AG29">
        <f t="shared" si="25"/>
        <v>11</v>
      </c>
      <c r="AH29" t="str">
        <f t="shared" si="14"/>
        <v>&lt;&gt;%  ===== viewer ===========&lt;&gt;section(viewer, 'I/O').&lt;&gt;subsection(viewer, 'imaging').&lt;&gt;description(viewer, 'displays image').&lt;&gt;visual_style(viewer,  visual_style11).&lt;&gt;inputs(viewer, [required('A')]).&lt;&gt;outputs(viewer, []).&lt;&gt;input_types(viewer, [image]).&lt;&gt;output_types(viewer, []).&lt;&gt;image_name(viewer, '/img/blocks/blocksheet1_13.png').&lt;&gt;</v>
      </c>
      <c r="AI29" t="str">
        <f t="shared" si="15"/>
        <v>[image</v>
      </c>
      <c r="AJ29" t="str">
        <f t="shared" si="16"/>
        <v/>
      </c>
      <c r="AK29" t="str">
        <f t="shared" si="17"/>
        <v/>
      </c>
      <c r="AL29" s="11" t="str">
        <f t="shared" si="18"/>
        <v/>
      </c>
      <c r="AM29" t="str">
        <f t="shared" si="19"/>
        <v>[</v>
      </c>
      <c r="AN29" t="str">
        <f t="shared" si="20"/>
        <v/>
      </c>
      <c r="AO29" s="11" t="str">
        <f t="shared" si="21"/>
        <v/>
      </c>
      <c r="AP29" t="str">
        <f t="shared" si="22"/>
        <v>[image]</v>
      </c>
      <c r="AQ29" t="str">
        <f t="shared" si="23"/>
        <v>[]</v>
      </c>
      <c r="AS29">
        <v>1</v>
      </c>
      <c r="AZ29">
        <v>1</v>
      </c>
      <c r="BA29">
        <v>1</v>
      </c>
      <c r="BB29" t="s">
        <v>280</v>
      </c>
      <c r="BC29">
        <v>21</v>
      </c>
      <c r="BD29">
        <v>8</v>
      </c>
      <c r="BE29" t="str">
        <f t="shared" si="24"/>
        <v>&lt;&gt;%  ===== viewer ===========&lt;&gt;section(viewer, 'I/O').&lt;&gt;subsection(viewer, 'imaging').&lt;&gt;description(viewer, 'displays image').&lt;&gt;visual_style(viewer,  visual_style11).&lt;&gt;inputs(viewer, [required('A')]).&lt;&gt;outputs(viewer, []).&lt;&gt;input_types(viewer, [image]).&lt;&gt;output_types(viewer, []).&lt;&gt;image_name(viewer, '/img/blocks/blocksheet1_13.png').&lt;&gt;prototype_coordinates(viewer, 21, 8).&lt;&gt;icon_size(viewer, 1, 1).&lt;&gt;</v>
      </c>
    </row>
    <row r="30" spans="2:57" ht="14.25" customHeight="1" x14ac:dyDescent="0.2">
      <c r="C30" s="1" t="str">
        <f t="shared" si="0"/>
        <v>I/O</v>
      </c>
      <c r="D30" s="1" t="str">
        <f t="shared" si="1"/>
        <v>imaging</v>
      </c>
      <c r="E30" s="2" t="s">
        <v>74</v>
      </c>
      <c r="I30" s="3"/>
      <c r="J30" s="10"/>
      <c r="K30" s="10"/>
      <c r="L30" s="10"/>
      <c r="M30" s="10"/>
      <c r="N30" s="4" t="s">
        <v>10</v>
      </c>
      <c r="Q30" s="2" t="s">
        <v>74</v>
      </c>
      <c r="T30" s="2" t="s">
        <v>169</v>
      </c>
      <c r="U30" s="2" t="s">
        <v>75</v>
      </c>
      <c r="V30" s="9" t="str">
        <f t="shared" si="3"/>
        <v>[</v>
      </c>
      <c r="W30" s="9" t="str">
        <f t="shared" si="4"/>
        <v/>
      </c>
      <c r="X30" s="9" t="str">
        <f t="shared" si="5"/>
        <v/>
      </c>
      <c r="Y30" s="9" t="str">
        <f t="shared" si="6"/>
        <v/>
      </c>
      <c r="Z30" t="str">
        <f t="shared" si="7"/>
        <v>[]</v>
      </c>
      <c r="AA30" s="1" t="str">
        <f t="shared" si="8"/>
        <v>['O'</v>
      </c>
      <c r="AB30" t="str">
        <f t="shared" si="9"/>
        <v/>
      </c>
      <c r="AC30" t="str">
        <f t="shared" si="10"/>
        <v/>
      </c>
      <c r="AD30" t="str">
        <f t="shared" si="11"/>
        <v>['O']</v>
      </c>
      <c r="AE30" t="str">
        <f t="shared" si="12"/>
        <v>section(kernal, 'I/O').&lt;&gt;subsection(kernal, 'imaging').&lt;&gt;description(kernal, 'kernal UI for defining kernals').&lt;&gt;visual_style(kernal,  visual_style12</v>
      </c>
      <c r="AF30" t="str">
        <f t="shared" si="13"/>
        <v>visual_style12</v>
      </c>
      <c r="AG30">
        <f t="shared" si="25"/>
        <v>12</v>
      </c>
      <c r="AH30" t="str">
        <f t="shared" si="14"/>
        <v>&lt;&gt;%  ===== kernal ===========&lt;&gt;section(kernal, 'I/O').&lt;&gt;subsection(kernal, 'imaging').&lt;&gt;description(kernal, 'kernal UI for defining kernals').&lt;&gt;visual_style(kernal,  visual_style12).&lt;&gt;inputs(kernal, []).&lt;&gt;outputs(kernal, ['O']).&lt;&gt;input_types(kernal, []).&lt;&gt;output_types(kernal, [kernal]).&lt;&gt;image_name(kernal, '/img/blocks/blocksheet1_14.png').&lt;&gt;</v>
      </c>
      <c r="AI30" t="str">
        <f t="shared" si="15"/>
        <v>[</v>
      </c>
      <c r="AJ30" t="str">
        <f t="shared" si="16"/>
        <v/>
      </c>
      <c r="AK30" t="str">
        <f t="shared" si="17"/>
        <v/>
      </c>
      <c r="AL30" s="11" t="str">
        <f t="shared" si="18"/>
        <v/>
      </c>
      <c r="AM30" t="str">
        <f t="shared" si="19"/>
        <v>[kernal</v>
      </c>
      <c r="AN30" t="str">
        <f t="shared" si="20"/>
        <v/>
      </c>
      <c r="AO30" s="11" t="str">
        <f t="shared" si="21"/>
        <v/>
      </c>
      <c r="AP30" t="str">
        <f t="shared" si="22"/>
        <v>[]</v>
      </c>
      <c r="AQ30" t="str">
        <f t="shared" si="23"/>
        <v>[kernal]</v>
      </c>
      <c r="AS30">
        <v>1</v>
      </c>
      <c r="AZ30">
        <v>1</v>
      </c>
      <c r="BA30">
        <v>1</v>
      </c>
      <c r="BB30" t="s">
        <v>281</v>
      </c>
      <c r="BC30">
        <v>21</v>
      </c>
      <c r="BD30">
        <v>9</v>
      </c>
      <c r="BE30" t="str">
        <f t="shared" si="24"/>
        <v>&lt;&gt;%  ===== kernal ===========&lt;&gt;section(kernal, 'I/O').&lt;&gt;subsection(kernal, 'imaging').&lt;&gt;description(kernal, 'kernal UI for defining kernals').&lt;&gt;visual_style(kernal,  visual_style12).&lt;&gt;inputs(kernal, []).&lt;&gt;outputs(kernal, ['O']).&lt;&gt;input_types(kernal, []).&lt;&gt;output_types(kernal, [kernal]).&lt;&gt;image_name(kernal, '/img/blocks/blocksheet1_14.png').&lt;&gt;prototype_coordinates(kernal, 21, 9).&lt;&gt;icon_size(kernal, 1, 1).&lt;&gt;</v>
      </c>
    </row>
    <row r="31" spans="2:57" ht="14.25" customHeight="1" x14ac:dyDescent="0.2">
      <c r="B31" s="2" t="s">
        <v>76</v>
      </c>
      <c r="C31" s="1" t="str">
        <f t="shared" si="0"/>
        <v>I/O</v>
      </c>
      <c r="D31" s="1" t="str">
        <f t="shared" si="1"/>
        <v>body</v>
      </c>
      <c r="I31" s="3"/>
      <c r="J31" s="10"/>
      <c r="K31" s="10"/>
      <c r="L31" s="10"/>
      <c r="M31" s="10"/>
      <c r="N31" s="4"/>
      <c r="V31" s="9" t="str">
        <f t="shared" si="3"/>
        <v>[</v>
      </c>
      <c r="W31" s="9" t="str">
        <f t="shared" si="4"/>
        <v/>
      </c>
      <c r="X31" s="9" t="str">
        <f t="shared" si="5"/>
        <v/>
      </c>
      <c r="Y31" s="9" t="str">
        <f t="shared" si="6"/>
        <v/>
      </c>
      <c r="Z31" t="str">
        <f t="shared" si="7"/>
        <v>[]</v>
      </c>
      <c r="AA31" s="1" t="str">
        <f t="shared" si="8"/>
        <v>[</v>
      </c>
      <c r="AB31" t="str">
        <f t="shared" si="9"/>
        <v/>
      </c>
      <c r="AC31" t="str">
        <f t="shared" si="10"/>
        <v/>
      </c>
      <c r="AD31" t="str">
        <f t="shared" si="11"/>
        <v>[]</v>
      </c>
      <c r="AE31" t="str">
        <f t="shared" si="12"/>
        <v/>
      </c>
      <c r="AF31" t="str">
        <f t="shared" si="13"/>
        <v>visual_style13</v>
      </c>
      <c r="AG31">
        <f t="shared" si="25"/>
        <v>13</v>
      </c>
      <c r="AH31" t="str">
        <f t="shared" si="14"/>
        <v/>
      </c>
      <c r="AI31" t="str">
        <f t="shared" si="15"/>
        <v>[</v>
      </c>
      <c r="AJ31" t="str">
        <f t="shared" si="16"/>
        <v/>
      </c>
      <c r="AK31" t="str">
        <f t="shared" si="17"/>
        <v/>
      </c>
      <c r="AL31" s="11" t="str">
        <f t="shared" si="18"/>
        <v/>
      </c>
      <c r="AM31" t="str">
        <f t="shared" si="19"/>
        <v>[</v>
      </c>
      <c r="AN31" t="str">
        <f t="shared" si="20"/>
        <v/>
      </c>
      <c r="AO31" s="11" t="str">
        <f t="shared" si="21"/>
        <v/>
      </c>
      <c r="AP31" t="str">
        <f t="shared" si="22"/>
        <v>[]</v>
      </c>
      <c r="AQ31" t="str">
        <f t="shared" si="23"/>
        <v>[]</v>
      </c>
      <c r="BE31" t="str">
        <f t="shared" si="24"/>
        <v/>
      </c>
    </row>
    <row r="32" spans="2:57" ht="14.25" customHeight="1" x14ac:dyDescent="0.2">
      <c r="C32" s="1" t="str">
        <f t="shared" si="0"/>
        <v>I/O</v>
      </c>
      <c r="D32" s="1" t="str">
        <f t="shared" si="1"/>
        <v>body</v>
      </c>
      <c r="E32" s="2" t="s">
        <v>77</v>
      </c>
      <c r="I32" s="3"/>
      <c r="J32" s="10"/>
      <c r="K32" s="10"/>
      <c r="L32" s="10"/>
      <c r="M32" s="10"/>
      <c r="N32" s="4" t="s">
        <v>10</v>
      </c>
      <c r="Q32" s="2" t="s">
        <v>137</v>
      </c>
      <c r="T32" s="2" t="s">
        <v>78</v>
      </c>
      <c r="U32" s="2" t="s">
        <v>79</v>
      </c>
      <c r="V32" s="9" t="str">
        <f t="shared" si="3"/>
        <v>[</v>
      </c>
      <c r="W32" s="9" t="str">
        <f t="shared" si="4"/>
        <v/>
      </c>
      <c r="X32" s="9" t="str">
        <f t="shared" si="5"/>
        <v/>
      </c>
      <c r="Y32" s="9" t="str">
        <f t="shared" si="6"/>
        <v/>
      </c>
      <c r="Z32" t="str">
        <f t="shared" si="7"/>
        <v>[]</v>
      </c>
      <c r="AA32" s="1" t="str">
        <f t="shared" si="8"/>
        <v>['O'</v>
      </c>
      <c r="AB32" t="str">
        <f t="shared" si="9"/>
        <v/>
      </c>
      <c r="AC32" t="str">
        <f t="shared" si="10"/>
        <v/>
      </c>
      <c r="AD32" t="str">
        <f t="shared" si="11"/>
        <v>['O']</v>
      </c>
      <c r="AE32" t="str">
        <f t="shared" si="12"/>
        <v>section(bodymask, 'I/O').&lt;&gt;subsection(bodymask, 'body').&lt;&gt;description(bodymask, 'output is a vector of booleans for joints').&lt;&gt;visual_style(bodymask,  visual_style13</v>
      </c>
      <c r="AF32" t="str">
        <f t="shared" si="13"/>
        <v>visual_style13</v>
      </c>
      <c r="AG32">
        <f t="shared" si="25"/>
        <v>13</v>
      </c>
      <c r="AH32" t="str">
        <f t="shared" si="14"/>
        <v>&lt;&gt;%  ===== bodymask ===========&lt;&gt;section(bodymask, 'I/O').&lt;&gt;subsection(bodymask, 'body').&lt;&gt;description(bodymask, 'output is a vector of booleans for joints').&lt;&gt;visual_style(bodymask,  visual_style13).&lt;&gt;inputs(bodymask, []).&lt;&gt;outputs(bodymask, ['O']).&lt;&gt;input_types(bodymask, []).&lt;&gt;output_types(bodymask, [mask]).&lt;&gt;image_name(bodymask, '/img/blocks/blocksheet1_10.png').&lt;&gt;</v>
      </c>
      <c r="AI32" t="str">
        <f t="shared" si="15"/>
        <v>[</v>
      </c>
      <c r="AJ32" t="str">
        <f t="shared" si="16"/>
        <v/>
      </c>
      <c r="AK32" t="str">
        <f t="shared" si="17"/>
        <v/>
      </c>
      <c r="AL32" s="11" t="str">
        <f t="shared" si="18"/>
        <v/>
      </c>
      <c r="AM32" t="str">
        <f t="shared" si="19"/>
        <v>[mask</v>
      </c>
      <c r="AN32" t="str">
        <f t="shared" si="20"/>
        <v/>
      </c>
      <c r="AO32" s="11" t="str">
        <f t="shared" si="21"/>
        <v/>
      </c>
      <c r="AP32" t="str">
        <f t="shared" si="22"/>
        <v>[]</v>
      </c>
      <c r="AQ32" t="str">
        <f t="shared" si="23"/>
        <v>[mask]</v>
      </c>
      <c r="AS32">
        <v>1</v>
      </c>
      <c r="AZ32">
        <v>1</v>
      </c>
      <c r="BA32">
        <v>1</v>
      </c>
      <c r="BB32" t="s">
        <v>282</v>
      </c>
      <c r="BC32">
        <v>21</v>
      </c>
      <c r="BD32">
        <v>10</v>
      </c>
      <c r="BE32" t="str">
        <f t="shared" si="24"/>
        <v>&lt;&gt;%  ===== bodymask ===========&lt;&gt;section(bodymask, 'I/O').&lt;&gt;subsection(bodymask, 'body').&lt;&gt;description(bodymask, 'output is a vector of booleans for joints').&lt;&gt;visual_style(bodymask,  visual_style13).&lt;&gt;inputs(bodymask, []).&lt;&gt;outputs(bodymask, ['O']).&lt;&gt;input_types(bodymask, []).&lt;&gt;output_types(bodymask, [mask]).&lt;&gt;image_name(bodymask, '/img/blocks/blocksheet1_10.png').&lt;&gt;prototype_coordinates(bodymask, 21, 10).&lt;&gt;icon_size(bodymask, 1, 1).&lt;&gt;</v>
      </c>
    </row>
    <row r="33" spans="1:57" ht="14.25" customHeight="1" x14ac:dyDescent="0.2">
      <c r="C33" s="1" t="str">
        <f t="shared" si="0"/>
        <v>I/O</v>
      </c>
      <c r="D33" s="1" t="str">
        <f t="shared" si="1"/>
        <v>body</v>
      </c>
      <c r="E33" s="2" t="s">
        <v>80</v>
      </c>
      <c r="I33" s="3"/>
      <c r="J33" s="10"/>
      <c r="K33" s="10"/>
      <c r="L33" s="10"/>
      <c r="M33" s="10"/>
      <c r="N33" s="4" t="s">
        <v>10</v>
      </c>
      <c r="Q33" s="2" t="s">
        <v>145</v>
      </c>
      <c r="T33" s="2" t="s">
        <v>81</v>
      </c>
      <c r="V33" s="9" t="str">
        <f t="shared" si="3"/>
        <v>[</v>
      </c>
      <c r="W33" s="9" t="str">
        <f t="shared" si="4"/>
        <v/>
      </c>
      <c r="X33" s="9" t="str">
        <f t="shared" si="5"/>
        <v/>
      </c>
      <c r="Y33" s="9" t="str">
        <f t="shared" si="6"/>
        <v/>
      </c>
      <c r="Z33" t="str">
        <f t="shared" si="7"/>
        <v>[]</v>
      </c>
      <c r="AA33" s="1" t="str">
        <f t="shared" si="8"/>
        <v>['O'</v>
      </c>
      <c r="AB33" t="str">
        <f t="shared" si="9"/>
        <v/>
      </c>
      <c r="AC33" t="str">
        <f t="shared" si="10"/>
        <v/>
      </c>
      <c r="AD33" t="str">
        <f t="shared" si="11"/>
        <v>['O']</v>
      </c>
      <c r="AE33" t="str">
        <f t="shared" si="12"/>
        <v>section(bodyposition, 'I/O').&lt;&gt;subsection(bodyposition, 'body').&lt;&gt;description(bodyposition, 'output is a vector of joint positions from physivcal bot').&lt;&gt;visual_style(bodyposition,  normal</v>
      </c>
      <c r="AF33" t="str">
        <f t="shared" si="13"/>
        <v>visual_style14</v>
      </c>
      <c r="AG33">
        <f t="shared" si="25"/>
        <v>14</v>
      </c>
      <c r="AH33" t="str">
        <f t="shared" si="14"/>
        <v>&lt;&gt;%  ===== bodyposition ===========&lt;&gt;section(bodyposition, 'I/O').&lt;&gt;subsection(bodyposition, 'body').&lt;&gt;description(bodyposition, 'output is a vector of joint positions from physivcal bot').&lt;&gt;visual_style(bodyposition,  normal).&lt;&gt;inputs(bodyposition, []).&lt;&gt;outputs(bodyposition, ['O']).&lt;&gt;input_types(bodyposition, []).&lt;&gt;output_types(bodyposition, [joints]).&lt;&gt;image_name(bodyposition, '/img/blocks/blocksheet1_11.png').&lt;&gt;</v>
      </c>
      <c r="AI33" t="str">
        <f t="shared" si="15"/>
        <v>[</v>
      </c>
      <c r="AJ33" t="str">
        <f t="shared" si="16"/>
        <v/>
      </c>
      <c r="AK33" t="str">
        <f t="shared" si="17"/>
        <v/>
      </c>
      <c r="AL33" s="11" t="str">
        <f t="shared" si="18"/>
        <v/>
      </c>
      <c r="AM33" t="str">
        <f t="shared" si="19"/>
        <v>[joints</v>
      </c>
      <c r="AN33" t="str">
        <f t="shared" si="20"/>
        <v/>
      </c>
      <c r="AO33" s="11" t="str">
        <f t="shared" si="21"/>
        <v/>
      </c>
      <c r="AP33" t="str">
        <f t="shared" si="22"/>
        <v>[]</v>
      </c>
      <c r="AQ33" t="str">
        <f t="shared" si="23"/>
        <v>[joints]</v>
      </c>
      <c r="AS33">
        <v>1</v>
      </c>
      <c r="AZ33">
        <v>1</v>
      </c>
      <c r="BA33">
        <v>1</v>
      </c>
      <c r="BB33" t="s">
        <v>284</v>
      </c>
      <c r="BC33">
        <v>21</v>
      </c>
      <c r="BD33">
        <v>11</v>
      </c>
      <c r="BE33" t="str">
        <f t="shared" si="24"/>
        <v>&lt;&gt;%  ===== bodyposition ===========&lt;&gt;section(bodyposition, 'I/O').&lt;&gt;subsection(bodyposition, 'body').&lt;&gt;description(bodyposition, 'output is a vector of joint positions from physivcal bot').&lt;&gt;visual_style(bodyposition,  normal).&lt;&gt;inputs(bodyposition, []).&lt;&gt;outputs(bodyposition, ['O']).&lt;&gt;input_types(bodyposition, []).&lt;&gt;output_types(bodyposition, [joints]).&lt;&gt;image_name(bodyposition, '/img/blocks/blocksheet1_11.png').&lt;&gt;prototype_coordinates(bodyposition, 21, 11).&lt;&gt;icon_size(bodyposition, 1, 1).&lt;&gt;</v>
      </c>
    </row>
    <row r="34" spans="1:57" ht="14.25" customHeight="1" x14ac:dyDescent="0.2">
      <c r="C34" s="1" t="str">
        <f t="shared" ref="C34:C62" si="26">IF(ISBLANK(A34),C33,A34)</f>
        <v>I/O</v>
      </c>
      <c r="D34" s="1" t="str">
        <f t="shared" ref="D34:D62" si="27">IF(NOT(ISBLANK(B34)), B34, IF(ISBLANK(A34), D33,A34))</f>
        <v>body</v>
      </c>
      <c r="E34" s="2" t="s">
        <v>82</v>
      </c>
      <c r="I34" s="3"/>
      <c r="J34" s="10"/>
      <c r="K34" s="10"/>
      <c r="L34" s="10"/>
      <c r="M34" s="10"/>
      <c r="N34" s="4" t="s">
        <v>10</v>
      </c>
      <c r="Q34" s="2" t="s">
        <v>145</v>
      </c>
      <c r="T34" s="2" t="s">
        <v>83</v>
      </c>
      <c r="V34" s="9" t="str">
        <f t="shared" si="3"/>
        <v>[</v>
      </c>
      <c r="W34" s="9" t="str">
        <f t="shared" si="4"/>
        <v/>
      </c>
      <c r="X34" s="9" t="str">
        <f t="shared" si="5"/>
        <v/>
      </c>
      <c r="Y34" s="9" t="str">
        <f t="shared" si="6"/>
        <v/>
      </c>
      <c r="Z34" t="str">
        <f t="shared" si="7"/>
        <v>[]</v>
      </c>
      <c r="AA34" s="1" t="str">
        <f t="shared" si="8"/>
        <v>['O'</v>
      </c>
      <c r="AB34" t="str">
        <f t="shared" si="9"/>
        <v/>
      </c>
      <c r="AC34" t="str">
        <f t="shared" si="10"/>
        <v/>
      </c>
      <c r="AD34" t="str">
        <f t="shared" si="11"/>
        <v>['O']</v>
      </c>
      <c r="AE34" t="str">
        <f t="shared" si="12"/>
        <v>section(bodypossim, 'I/O').&lt;&gt;subsection(bodypossim, 'body').&lt;&gt;description(bodypossim, 'as per bodyposition but from the simulator').&lt;&gt;visual_style(bodypossim,  normal</v>
      </c>
      <c r="AF34" t="str">
        <f t="shared" si="13"/>
        <v>visual_style14</v>
      </c>
      <c r="AG34">
        <f t="shared" si="25"/>
        <v>14</v>
      </c>
      <c r="AH34" t="str">
        <f t="shared" si="14"/>
        <v>&lt;&gt;%  ===== bodypossim ===========&lt;&gt;section(bodypossim, 'I/O').&lt;&gt;subsection(bodypossim, 'body').&lt;&gt;description(bodypossim, 'as per bodyposition but from the simulator').&lt;&gt;visual_style(bodypossim,  normal).&lt;&gt;inputs(bodypossim, []).&lt;&gt;outputs(bodypossim, ['O']).&lt;&gt;input_types(bodypossim, []).&lt;&gt;output_types(bodypossim, [joints]).&lt;&gt;image_name(bodypossim, '/img/blocks/blocksheet1_16.png').&lt;&gt;</v>
      </c>
      <c r="AI34" t="str">
        <f t="shared" si="15"/>
        <v>[</v>
      </c>
      <c r="AJ34" t="str">
        <f t="shared" si="16"/>
        <v/>
      </c>
      <c r="AK34" t="str">
        <f t="shared" si="17"/>
        <v/>
      </c>
      <c r="AL34" s="11" t="str">
        <f t="shared" si="18"/>
        <v/>
      </c>
      <c r="AM34" t="str">
        <f t="shared" si="19"/>
        <v>[joints</v>
      </c>
      <c r="AN34" t="str">
        <f t="shared" si="20"/>
        <v/>
      </c>
      <c r="AO34" s="11" t="str">
        <f t="shared" si="21"/>
        <v/>
      </c>
      <c r="AP34" t="str">
        <f t="shared" si="22"/>
        <v>[]</v>
      </c>
      <c r="AQ34" t="str">
        <f t="shared" si="23"/>
        <v>[joints]</v>
      </c>
      <c r="AS34">
        <v>1</v>
      </c>
      <c r="AZ34">
        <v>1</v>
      </c>
      <c r="BA34">
        <v>1</v>
      </c>
      <c r="BB34" t="s">
        <v>285</v>
      </c>
      <c r="BC34">
        <v>21</v>
      </c>
      <c r="BD34">
        <v>12</v>
      </c>
      <c r="BE34" t="str">
        <f t="shared" si="24"/>
        <v>&lt;&gt;%  ===== bodypossim ===========&lt;&gt;section(bodypossim, 'I/O').&lt;&gt;subsection(bodypossim, 'body').&lt;&gt;description(bodypossim, 'as per bodyposition but from the simulator').&lt;&gt;visual_style(bodypossim,  normal).&lt;&gt;inputs(bodypossim, []).&lt;&gt;outputs(bodypossim, ['O']).&lt;&gt;input_types(bodypossim, []).&lt;&gt;output_types(bodypossim, [joints]).&lt;&gt;image_name(bodypossim, '/img/blocks/blocksheet1_16.png').&lt;&gt;prototype_coordinates(bodypossim, 21, 12).&lt;&gt;icon_size(bodypossim, 1, 1).&lt;&gt;</v>
      </c>
    </row>
    <row r="35" spans="1:57" ht="14.25" customHeight="1" x14ac:dyDescent="0.2">
      <c r="C35" s="1" t="str">
        <f t="shared" si="26"/>
        <v>I/O</v>
      </c>
      <c r="D35" s="1" t="str">
        <f t="shared" si="27"/>
        <v>body</v>
      </c>
      <c r="E35" s="2" t="s">
        <v>84</v>
      </c>
      <c r="F35" s="2" t="s">
        <v>8</v>
      </c>
      <c r="G35" s="2" t="s">
        <v>85</v>
      </c>
      <c r="I35" s="3"/>
      <c r="J35" s="10" t="s">
        <v>145</v>
      </c>
      <c r="K35" s="10" t="s">
        <v>163</v>
      </c>
      <c r="L35" s="10"/>
      <c r="M35" s="10"/>
      <c r="N35" s="4"/>
      <c r="T35" s="2" t="s">
        <v>86</v>
      </c>
      <c r="V35" s="9" t="str">
        <f t="shared" si="3"/>
        <v>[required('A')</v>
      </c>
      <c r="W35" s="9" t="str">
        <f t="shared" si="4"/>
        <v>, required('Mask')</v>
      </c>
      <c r="X35" s="9" t="str">
        <f t="shared" si="5"/>
        <v/>
      </c>
      <c r="Y35" s="9" t="str">
        <f t="shared" si="6"/>
        <v/>
      </c>
      <c r="Z35" t="str">
        <f t="shared" si="7"/>
        <v>[required('A'), required('Mask')]</v>
      </c>
      <c r="AA35" s="1" t="str">
        <f t="shared" si="8"/>
        <v>[</v>
      </c>
      <c r="AB35" t="str">
        <f t="shared" si="9"/>
        <v/>
      </c>
      <c r="AC35" t="str">
        <f t="shared" si="10"/>
        <v/>
      </c>
      <c r="AD35" t="str">
        <f t="shared" si="11"/>
        <v>[]</v>
      </c>
      <c r="AE35" t="str">
        <f t="shared" si="12"/>
        <v>section(motors, 'I/O').&lt;&gt;subsection(motors, 'body').&lt;&gt;description(motors, 'Send channels of vector A matching Mask to robot servos').&lt;&gt;visual_style(motors,  normal</v>
      </c>
      <c r="AF35" t="str">
        <f t="shared" si="13"/>
        <v>visual_style14</v>
      </c>
      <c r="AG35">
        <f t="shared" si="25"/>
        <v>14</v>
      </c>
      <c r="AH35" t="str">
        <f t="shared" si="14"/>
        <v>&lt;&gt;%  ===== motors ===========&lt;&gt;section(motors, 'I/O').&lt;&gt;subsection(motors, 'body').&lt;&gt;description(motors, 'Send channels of vector A matching Mask to robot servos').&lt;&gt;visual_style(motors,  normal).&lt;&gt;inputs(motors, [required('A'), required('Mask')]).&lt;&gt;outputs(motors, []).&lt;&gt;input_types(motors, [joints, jointmask]).&lt;&gt;output_types(motors, []).&lt;&gt;image_name(motors, '/img/blocks/blocksheet1_15.png').&lt;&gt;</v>
      </c>
      <c r="AI35" t="str">
        <f t="shared" si="15"/>
        <v>[joints</v>
      </c>
      <c r="AJ35" t="str">
        <f t="shared" si="16"/>
        <v>, jointmask</v>
      </c>
      <c r="AK35" t="str">
        <f t="shared" si="17"/>
        <v/>
      </c>
      <c r="AL35" s="11" t="str">
        <f t="shared" si="18"/>
        <v/>
      </c>
      <c r="AM35" t="str">
        <f t="shared" si="19"/>
        <v>[</v>
      </c>
      <c r="AN35" t="str">
        <f t="shared" si="20"/>
        <v/>
      </c>
      <c r="AO35" s="11" t="str">
        <f t="shared" si="21"/>
        <v/>
      </c>
      <c r="AP35" t="str">
        <f t="shared" si="22"/>
        <v>[joints, jointmask]</v>
      </c>
      <c r="AQ35" t="str">
        <f t="shared" si="23"/>
        <v>[]</v>
      </c>
      <c r="AS35">
        <v>1</v>
      </c>
      <c r="AZ35">
        <v>1</v>
      </c>
      <c r="BA35">
        <v>1</v>
      </c>
      <c r="BB35" t="s">
        <v>283</v>
      </c>
      <c r="BC35">
        <v>21</v>
      </c>
      <c r="BD35">
        <v>13</v>
      </c>
      <c r="BE35" t="str">
        <f t="shared" si="24"/>
        <v>&lt;&gt;%  ===== motors ===========&lt;&gt;section(motors, 'I/O').&lt;&gt;subsection(motors, 'body').&lt;&gt;description(motors, 'Send channels of vector A matching Mask to robot servos').&lt;&gt;visual_style(motors,  normal).&lt;&gt;inputs(motors, [required('A'), required('Mask')]).&lt;&gt;outputs(motors, []).&lt;&gt;input_types(motors, [joints, jointmask]).&lt;&gt;output_types(motors, []).&lt;&gt;image_name(motors, '/img/blocks/blocksheet1_15.png').&lt;&gt;prototype_coordinates(motors, 21, 13).&lt;&gt;icon_size(motors, 1, 1).&lt;&gt;</v>
      </c>
    </row>
    <row r="36" spans="1:57" ht="14.25" customHeight="1" x14ac:dyDescent="0.2">
      <c r="C36" s="1" t="str">
        <f t="shared" si="26"/>
        <v>I/O</v>
      </c>
      <c r="D36" s="1" t="str">
        <f t="shared" si="27"/>
        <v>body</v>
      </c>
      <c r="E36" s="2" t="s">
        <v>87</v>
      </c>
      <c r="F36" s="2" t="s">
        <v>8</v>
      </c>
      <c r="G36" s="2" t="s">
        <v>85</v>
      </c>
      <c r="I36" s="3"/>
      <c r="J36" s="10" t="s">
        <v>145</v>
      </c>
      <c r="K36" s="10" t="s">
        <v>163</v>
      </c>
      <c r="L36" s="10"/>
      <c r="M36" s="10"/>
      <c r="N36" s="4"/>
      <c r="T36" s="2" t="s">
        <v>88</v>
      </c>
      <c r="V36" s="9" t="str">
        <f t="shared" si="3"/>
        <v>[required('A')</v>
      </c>
      <c r="W36" s="9" t="str">
        <f t="shared" si="4"/>
        <v>, required('Mask')</v>
      </c>
      <c r="X36" s="9" t="str">
        <f t="shared" si="5"/>
        <v/>
      </c>
      <c r="Y36" s="9" t="str">
        <f t="shared" si="6"/>
        <v/>
      </c>
      <c r="Z36" t="str">
        <f t="shared" si="7"/>
        <v>[required('A'), required('Mask')]</v>
      </c>
      <c r="AA36" s="1" t="str">
        <f t="shared" si="8"/>
        <v>[</v>
      </c>
      <c r="AB36" t="str">
        <f t="shared" si="9"/>
        <v/>
      </c>
      <c r="AC36" t="str">
        <f t="shared" si="10"/>
        <v/>
      </c>
      <c r="AD36" t="str">
        <f t="shared" si="11"/>
        <v>[]</v>
      </c>
      <c r="AE36" t="str">
        <f t="shared" si="12"/>
        <v>section(motorsim, 'I/O').&lt;&gt;subsection(motorsim, 'body').&lt;&gt;description(motorsim, 'As per motors, but to simulator').&lt;&gt;visual_style(motorsim,  normal</v>
      </c>
      <c r="AF36" t="str">
        <f t="shared" si="13"/>
        <v>visual_style14</v>
      </c>
      <c r="AG36">
        <f t="shared" si="25"/>
        <v>14</v>
      </c>
      <c r="AH36" t="str">
        <f t="shared" si="14"/>
        <v>&lt;&gt;%  ===== motorsim ===========&lt;&gt;section(motorsim, 'I/O').&lt;&gt;subsection(motorsim, 'body').&lt;&gt;description(motorsim, 'As per motors, but to simulator').&lt;&gt;visual_style(motorsim,  normal).&lt;&gt;inputs(motorsim, [required('A'), required('Mask')]).&lt;&gt;outputs(motorsim, []).&lt;&gt;input_types(motorsim, [joints, jointmask]).&lt;&gt;output_types(motorsim, []).&lt;&gt;image_name(motorsim, '/img/blocks/blocksheet1_17.png').&lt;&gt;</v>
      </c>
      <c r="AI36" t="str">
        <f t="shared" si="15"/>
        <v>[joints</v>
      </c>
      <c r="AJ36" t="str">
        <f t="shared" si="16"/>
        <v>, jointmask</v>
      </c>
      <c r="AK36" t="str">
        <f t="shared" si="17"/>
        <v/>
      </c>
      <c r="AL36" s="11" t="str">
        <f t="shared" si="18"/>
        <v/>
      </c>
      <c r="AM36" t="str">
        <f t="shared" si="19"/>
        <v>[</v>
      </c>
      <c r="AN36" t="str">
        <f t="shared" si="20"/>
        <v/>
      </c>
      <c r="AO36" s="11" t="str">
        <f t="shared" si="21"/>
        <v/>
      </c>
      <c r="AP36" t="str">
        <f t="shared" si="22"/>
        <v>[joints, jointmask]</v>
      </c>
      <c r="AQ36" t="str">
        <f t="shared" si="23"/>
        <v>[]</v>
      </c>
      <c r="AS36">
        <v>1</v>
      </c>
      <c r="AZ36">
        <v>1</v>
      </c>
      <c r="BA36">
        <v>1</v>
      </c>
      <c r="BB36" t="s">
        <v>286</v>
      </c>
      <c r="BC36">
        <v>21</v>
      </c>
      <c r="BD36">
        <v>14</v>
      </c>
      <c r="BE36" t="str">
        <f t="shared" si="24"/>
        <v>&lt;&gt;%  ===== motorsim ===========&lt;&gt;section(motorsim, 'I/O').&lt;&gt;subsection(motorsim, 'body').&lt;&gt;description(motorsim, 'As per motors, but to simulator').&lt;&gt;visual_style(motorsim,  normal).&lt;&gt;inputs(motorsim, [required('A'), required('Mask')]).&lt;&gt;outputs(motorsim, []).&lt;&gt;input_types(motorsim, [joints, jointmask]).&lt;&gt;output_types(motorsim, []).&lt;&gt;image_name(motorsim, '/img/blocks/blocksheet1_17.png').&lt;&gt;prototype_coordinates(motorsim, 21, 14).&lt;&gt;icon_size(motorsim, 1, 1).&lt;&gt;</v>
      </c>
    </row>
    <row r="37" spans="1:57" ht="14.25" customHeight="1" x14ac:dyDescent="0.2">
      <c r="A37" s="2" t="s">
        <v>217</v>
      </c>
      <c r="B37" s="2" t="s">
        <v>218</v>
      </c>
      <c r="C37" s="1" t="str">
        <f t="shared" ref="C37:C46" si="28">IF(ISBLANK(A37),C36,A37)</f>
        <v>connector</v>
      </c>
      <c r="D37" s="1" t="str">
        <f t="shared" ref="D37:D46" si="29">IF(NOT(ISBLANK(B37)), B37, IF(ISBLANK(A37), D36,A37))</f>
        <v>pipe</v>
      </c>
      <c r="I37" s="3"/>
      <c r="J37" s="10"/>
      <c r="K37" s="10"/>
      <c r="L37" s="10"/>
      <c r="M37" s="10"/>
      <c r="N37" s="4"/>
      <c r="V37" s="9" t="str">
        <f t="shared" ref="V37:V46" si="30">"["&amp;IF(RIGHT(F37,5)="(opt)","optional('"&amp;LEFT(F37,LEN(F37)-5)&amp;"')",IF(ISBLANK(F37),"","required('"&amp;F37&amp;"')"))</f>
        <v>[</v>
      </c>
      <c r="W37" s="9" t="str">
        <f t="shared" ref="W37:W46" si="31">IF(RIGHT(G37,5)="(opt)",", optional('"&amp;LEFT(G37, LEN(G37)-5)&amp;"')",IF(ISBLANK(G37),"",", required('"&amp;G37&amp;"')"))</f>
        <v/>
      </c>
      <c r="X37" s="9" t="str">
        <f t="shared" ref="X37:X46" si="32">IF(RIGHT(H37,5)="(opt)",", optional('"&amp;LEFT(H37, LEN(H37)-5)&amp;"')",IF(ISBLANK(H37),"",", required('"&amp;H37&amp;"')"))</f>
        <v/>
      </c>
      <c r="Y37" s="9" t="str">
        <f t="shared" ref="Y37:Y46" si="33">IF(RIGHT(I37,5)="(opt)",", optional('"&amp;LEFT(I37, LEN(I37)-5)&amp;"')",IF(ISBLANK(I37),"",", required('"&amp;I37&amp;"')"))</f>
        <v/>
      </c>
      <c r="Z37" t="str">
        <f t="shared" ref="Z37:Z46" si="34">V37&amp;W37&amp;X37&amp;"]"</f>
        <v>[]</v>
      </c>
      <c r="AA37" s="1" t="str">
        <f t="shared" ref="AA37:AA46" si="35">"["&amp;IF(ISBLANK(N37),"", "'"&amp;N37&amp;"'")</f>
        <v>[</v>
      </c>
      <c r="AB37" t="str">
        <f t="shared" ref="AB37:AB46" si="36">IF(ISBLANK(O37),"",", '"&amp;O37&amp;"'")</f>
        <v/>
      </c>
      <c r="AC37" t="str">
        <f t="shared" ref="AC37:AC46" si="37">IF(ISBLANK(P37),"",", '"&amp;P37&amp;"'")</f>
        <v/>
      </c>
      <c r="AD37" t="str">
        <f t="shared" ref="AD37:AD46" si="38">AA37&amp;AB37&amp;AC37&amp;"]"</f>
        <v>[]</v>
      </c>
      <c r="AE37" t="str">
        <f t="shared" ref="AE37:AE46" si="39">IF(ISBLANK(E37),"","section("&amp;E37&amp;", '"&amp;C37&amp;"').&lt;&gt;subsection("&amp;E37&amp;", '"&amp;D37&amp;"').&lt;&gt;description("&amp;E37&amp;", '"&amp;T37&amp;"').&lt;&gt;visual_style("&amp;E37&amp;",  "&amp;IF(ISBLANK(U37),"normal",AF37))</f>
        <v/>
      </c>
      <c r="AF37" t="str">
        <f t="shared" ref="AF37:AF46" si="40">"visual_style"&amp;AG37</f>
        <v>visual_style14</v>
      </c>
      <c r="AG37">
        <f t="shared" ref="AG37:AG47" si="41">IF(ISBLANK(U36),AG36,AG36+1)</f>
        <v>14</v>
      </c>
      <c r="AH37" t="str">
        <f t="shared" si="14"/>
        <v/>
      </c>
      <c r="AI37" t="str">
        <f t="shared" ref="AI37:AI46" si="42">IF(ISBLANK(J37),"[","["&amp;J37)</f>
        <v>[</v>
      </c>
      <c r="AJ37" t="str">
        <f t="shared" ref="AJ37:AJ46" si="43">IF(ISBLANK(K37), "", ", "&amp;K37)</f>
        <v/>
      </c>
      <c r="AK37" t="str">
        <f t="shared" ref="AK37:AK46" si="44">IF(ISBLANK(L37), "", ", "&amp;L37)</f>
        <v/>
      </c>
      <c r="AL37" s="11" t="str">
        <f t="shared" ref="AL37:AL46" si="45">IF(ISBLANK(M37), "", ", "&amp;M37)</f>
        <v/>
      </c>
      <c r="AM37" t="str">
        <f t="shared" ref="AM37:AM46" si="46">IF(ISBLANK(Q37),"[","["&amp;Q37)</f>
        <v>[</v>
      </c>
      <c r="AN37" t="str">
        <f t="shared" ref="AN37:AN46" si="47">IF(ISBLANK(R37), "", ", "&amp;R37)</f>
        <v/>
      </c>
      <c r="AO37" s="11" t="str">
        <f t="shared" ref="AO37:AO46" si="48">IF(ISBLANK(S37), "", ", "&amp;S37)</f>
        <v/>
      </c>
      <c r="AP37" t="str">
        <f t="shared" ref="AP37:AP46" si="49">AI37&amp;AJ37&amp;AK37&amp;AL37&amp;"]"</f>
        <v>[]</v>
      </c>
      <c r="AQ37" t="str">
        <f t="shared" ref="AQ37:AQ46" si="50">AM37&amp;AN37&amp;AO37&amp;"]"</f>
        <v>[]</v>
      </c>
      <c r="BE37" t="str">
        <f t="shared" si="24"/>
        <v/>
      </c>
    </row>
    <row r="38" spans="1:57" ht="14.25" customHeight="1" x14ac:dyDescent="0.2">
      <c r="B38" s="2" t="s">
        <v>218</v>
      </c>
      <c r="C38" s="1" t="str">
        <f t="shared" si="28"/>
        <v>connector</v>
      </c>
      <c r="D38" s="1" t="str">
        <f t="shared" si="29"/>
        <v>pipe</v>
      </c>
      <c r="I38" s="3"/>
      <c r="J38" s="10"/>
      <c r="K38" s="10"/>
      <c r="L38" s="10"/>
      <c r="M38" s="10"/>
      <c r="N38" s="4"/>
      <c r="V38" s="9" t="str">
        <f t="shared" si="30"/>
        <v>[</v>
      </c>
      <c r="W38" s="9" t="str">
        <f t="shared" si="31"/>
        <v/>
      </c>
      <c r="X38" s="9" t="str">
        <f t="shared" si="32"/>
        <v/>
      </c>
      <c r="Y38" s="9" t="str">
        <f t="shared" si="33"/>
        <v/>
      </c>
      <c r="Z38" t="str">
        <f t="shared" si="34"/>
        <v>[]</v>
      </c>
      <c r="AA38" s="1" t="str">
        <f t="shared" si="35"/>
        <v>[</v>
      </c>
      <c r="AB38" t="str">
        <f t="shared" si="36"/>
        <v/>
      </c>
      <c r="AC38" t="str">
        <f t="shared" si="37"/>
        <v/>
      </c>
      <c r="AD38" t="str">
        <f t="shared" si="38"/>
        <v>[]</v>
      </c>
      <c r="AE38" t="str">
        <f t="shared" si="39"/>
        <v/>
      </c>
      <c r="AF38" t="str">
        <f t="shared" si="40"/>
        <v>visual_style14</v>
      </c>
      <c r="AG38">
        <f t="shared" si="41"/>
        <v>14</v>
      </c>
      <c r="AH38" t="str">
        <f t="shared" si="14"/>
        <v/>
      </c>
      <c r="AI38" t="str">
        <f t="shared" si="42"/>
        <v>[</v>
      </c>
      <c r="AJ38" t="str">
        <f t="shared" si="43"/>
        <v/>
      </c>
      <c r="AK38" t="str">
        <f t="shared" si="44"/>
        <v/>
      </c>
      <c r="AL38" s="11" t="str">
        <f t="shared" si="45"/>
        <v/>
      </c>
      <c r="AM38" t="str">
        <f t="shared" si="46"/>
        <v>[</v>
      </c>
      <c r="AN38" t="str">
        <f t="shared" si="47"/>
        <v/>
      </c>
      <c r="AO38" s="11" t="str">
        <f t="shared" si="48"/>
        <v/>
      </c>
      <c r="AP38" t="str">
        <f t="shared" si="49"/>
        <v>[]</v>
      </c>
      <c r="AQ38" t="str">
        <f t="shared" si="50"/>
        <v>[]</v>
      </c>
      <c r="BE38" t="str">
        <f t="shared" si="24"/>
        <v/>
      </c>
    </row>
    <row r="39" spans="1:57" ht="14.25" customHeight="1" x14ac:dyDescent="0.2">
      <c r="C39" s="1" t="str">
        <f t="shared" si="28"/>
        <v>connector</v>
      </c>
      <c r="D39" s="1" t="str">
        <f t="shared" si="29"/>
        <v>pipe</v>
      </c>
      <c r="E39" s="2" t="s">
        <v>219</v>
      </c>
      <c r="F39" s="2" t="s">
        <v>8</v>
      </c>
      <c r="I39" s="3"/>
      <c r="J39" s="10" t="s">
        <v>220</v>
      </c>
      <c r="K39" s="10"/>
      <c r="L39" s="10"/>
      <c r="M39" s="10"/>
      <c r="N39" s="4" t="s">
        <v>10</v>
      </c>
      <c r="Q39" s="2" t="s">
        <v>220</v>
      </c>
      <c r="T39" s="2" t="s">
        <v>221</v>
      </c>
      <c r="U39" s="2" t="s">
        <v>222</v>
      </c>
      <c r="V39" s="9" t="str">
        <f t="shared" si="30"/>
        <v>[required('A')</v>
      </c>
      <c r="W39" s="9" t="str">
        <f t="shared" si="31"/>
        <v/>
      </c>
      <c r="X39" s="9" t="str">
        <f t="shared" si="32"/>
        <v/>
      </c>
      <c r="Y39" s="9" t="str">
        <f t="shared" si="33"/>
        <v/>
      </c>
      <c r="Z39" t="str">
        <f t="shared" si="34"/>
        <v>[required('A')]</v>
      </c>
      <c r="AA39" s="1" t="str">
        <f t="shared" si="35"/>
        <v>['O'</v>
      </c>
      <c r="AB39" t="str">
        <f t="shared" si="36"/>
        <v/>
      </c>
      <c r="AC39" t="str">
        <f t="shared" si="37"/>
        <v/>
      </c>
      <c r="AD39" t="str">
        <f t="shared" si="38"/>
        <v>['O']</v>
      </c>
      <c r="AE39" t="str">
        <f t="shared" si="39"/>
        <v>section(drbend, 'connector').&lt;&gt;subsection(drbend, 'pipe').&lt;&gt;description(drbend, 'bidi pipe connection').&lt;&gt;visual_style(drbend,  visual_style14</v>
      </c>
      <c r="AF39" t="str">
        <f t="shared" si="40"/>
        <v>visual_style14</v>
      </c>
      <c r="AG39">
        <f t="shared" si="41"/>
        <v>14</v>
      </c>
      <c r="AH39" t="str">
        <f t="shared" si="14"/>
        <v>&lt;&gt;%  ===== drbend ===========&lt;&gt;section(drbend, 'connector').&lt;&gt;subsection(drbend, 'pipe').&lt;&gt;description(drbend, 'bidi pipe connection').&lt;&gt;visual_style(drbend,  visual_style14).&lt;&gt;inputs(drbend, [required('A')]).&lt;&gt;outputs(drbend, ['O']).&lt;&gt;input_types(drbend, [any]).&lt;&gt;output_types(drbend, [any]).&lt;&gt;image_name(drbend, '/img/blocks/blocksheet0-_02.png').&lt;&gt;</v>
      </c>
      <c r="AI39" t="str">
        <f t="shared" si="42"/>
        <v>[any</v>
      </c>
      <c r="AJ39" t="str">
        <f t="shared" si="43"/>
        <v/>
      </c>
      <c r="AK39" t="str">
        <f t="shared" si="44"/>
        <v/>
      </c>
      <c r="AL39" s="11" t="str">
        <f t="shared" si="45"/>
        <v/>
      </c>
      <c r="AM39" t="str">
        <f t="shared" si="46"/>
        <v>[any</v>
      </c>
      <c r="AN39" t="str">
        <f t="shared" si="47"/>
        <v/>
      </c>
      <c r="AO39" s="11" t="str">
        <f t="shared" si="48"/>
        <v/>
      </c>
      <c r="AP39" t="str">
        <f t="shared" si="49"/>
        <v>[any]</v>
      </c>
      <c r="AQ39" t="str">
        <f t="shared" si="50"/>
        <v>[any]</v>
      </c>
      <c r="AT39" t="s">
        <v>223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1</v>
      </c>
      <c r="BA39">
        <v>1</v>
      </c>
      <c r="BB39" t="s">
        <v>263</v>
      </c>
      <c r="BC39">
        <v>20</v>
      </c>
      <c r="BD39">
        <v>0</v>
      </c>
      <c r="BE39" t="str">
        <f t="shared" si="24"/>
        <v>&lt;&gt;%  ===== drbend ===========&lt;&gt;section(drbend, 'connector').&lt;&gt;subsection(drbend, 'pipe').&lt;&gt;description(drbend, 'bidi pipe connection').&lt;&gt;visual_style(drbend,  visual_style14).&lt;&gt;inputs(drbend, [required('A')]).&lt;&gt;outputs(drbend, ['O']).&lt;&gt;input_types(drbend, [any]).&lt;&gt;output_types(drbend, [any]).&lt;&gt;image_name(drbend, '/img/blocks/blocksheet0-_02.png').&lt;&gt;prototype_coordinates(drbend, 20, 0).&lt;&gt;icon_size(drbend, 1, 1).&lt;&gt;</v>
      </c>
    </row>
    <row r="40" spans="1:57" ht="14.25" customHeight="1" x14ac:dyDescent="0.2">
      <c r="C40" s="1" t="str">
        <f t="shared" si="28"/>
        <v>connector</v>
      </c>
      <c r="D40" s="1" t="str">
        <f t="shared" si="29"/>
        <v>pipe</v>
      </c>
      <c r="E40" s="2" t="s">
        <v>229</v>
      </c>
      <c r="F40" s="2" t="s">
        <v>8</v>
      </c>
      <c r="I40" s="3"/>
      <c r="J40" s="10" t="s">
        <v>220</v>
      </c>
      <c r="K40" s="10"/>
      <c r="L40" s="10"/>
      <c r="M40" s="10"/>
      <c r="N40" s="4" t="s">
        <v>10</v>
      </c>
      <c r="Q40" s="2" t="s">
        <v>220</v>
      </c>
      <c r="T40" s="2" t="s">
        <v>221</v>
      </c>
      <c r="U40" s="2" t="s">
        <v>222</v>
      </c>
      <c r="V40" s="9" t="str">
        <f t="shared" si="30"/>
        <v>[required('A')</v>
      </c>
      <c r="W40" s="9" t="str">
        <f t="shared" si="31"/>
        <v/>
      </c>
      <c r="X40" s="9" t="str">
        <f t="shared" si="32"/>
        <v/>
      </c>
      <c r="Y40" s="9" t="str">
        <f t="shared" si="33"/>
        <v/>
      </c>
      <c r="Z40" t="str">
        <f t="shared" si="34"/>
        <v>[required('A')]</v>
      </c>
      <c r="AA40" s="1" t="str">
        <f t="shared" si="35"/>
        <v>['O'</v>
      </c>
      <c r="AB40" t="str">
        <f t="shared" si="36"/>
        <v/>
      </c>
      <c r="AC40" t="str">
        <f t="shared" si="37"/>
        <v/>
      </c>
      <c r="AD40" t="str">
        <f t="shared" si="38"/>
        <v>['O']</v>
      </c>
      <c r="AE40" t="str">
        <f t="shared" si="39"/>
        <v>section(dlbend, 'connector').&lt;&gt;subsection(dlbend, 'pipe').&lt;&gt;description(dlbend, 'bidi pipe connection').&lt;&gt;visual_style(dlbend,  visual_style15</v>
      </c>
      <c r="AF40" t="str">
        <f t="shared" si="40"/>
        <v>visual_style15</v>
      </c>
      <c r="AG40">
        <f t="shared" si="41"/>
        <v>15</v>
      </c>
      <c r="AH40" t="str">
        <f t="shared" si="14"/>
        <v>&lt;&gt;%  ===== dlbend ===========&lt;&gt;section(dlbend, 'connector').&lt;&gt;subsection(dlbend, 'pipe').&lt;&gt;description(dlbend, 'bidi pipe connection').&lt;&gt;visual_style(dlbend,  visual_style15).&lt;&gt;inputs(dlbend, [required('A')]).&lt;&gt;outputs(dlbend, ['O']).&lt;&gt;input_types(dlbend, [any]).&lt;&gt;output_types(dlbend, [any]).&lt;&gt;image_name(dlbend, '/img/blocks/blocksheet0-_03.png').&lt;&gt;</v>
      </c>
      <c r="AI40" t="str">
        <f t="shared" si="42"/>
        <v>[any</v>
      </c>
      <c r="AJ40" t="str">
        <f t="shared" si="43"/>
        <v/>
      </c>
      <c r="AK40" t="str">
        <f t="shared" si="44"/>
        <v/>
      </c>
      <c r="AL40" s="11" t="str">
        <f t="shared" si="45"/>
        <v/>
      </c>
      <c r="AM40" t="str">
        <f t="shared" si="46"/>
        <v>[any</v>
      </c>
      <c r="AN40" t="str">
        <f t="shared" si="47"/>
        <v/>
      </c>
      <c r="AO40" s="11" t="str">
        <f t="shared" si="48"/>
        <v/>
      </c>
      <c r="AP40" t="str">
        <f t="shared" si="49"/>
        <v>[any]</v>
      </c>
      <c r="AQ40" t="str">
        <f t="shared" si="50"/>
        <v>[any]</v>
      </c>
      <c r="AU40">
        <v>1</v>
      </c>
      <c r="AV40">
        <v>1</v>
      </c>
      <c r="AW40">
        <v>0</v>
      </c>
      <c r="AX40">
        <v>1</v>
      </c>
      <c r="AY40">
        <v>0</v>
      </c>
      <c r="AZ40">
        <v>1</v>
      </c>
      <c r="BA40">
        <v>1</v>
      </c>
      <c r="BB40" t="s">
        <v>264</v>
      </c>
      <c r="BC40">
        <v>20</v>
      </c>
      <c r="BD40">
        <v>1</v>
      </c>
      <c r="BE40" t="str">
        <f t="shared" si="24"/>
        <v>&lt;&gt;%  ===== dlbend ===========&lt;&gt;section(dlbend, 'connector').&lt;&gt;subsection(dlbend, 'pipe').&lt;&gt;description(dlbend, 'bidi pipe connection').&lt;&gt;visual_style(dlbend,  visual_style15).&lt;&gt;inputs(dlbend, [required('A')]).&lt;&gt;outputs(dlbend, ['O']).&lt;&gt;input_types(dlbend, [any]).&lt;&gt;output_types(dlbend, [any]).&lt;&gt;image_name(dlbend, '/img/blocks/blocksheet0-_03.png').&lt;&gt;prototype_coordinates(dlbend, 20, 1).&lt;&gt;icon_size(dlbend, 1, 1).&lt;&gt;</v>
      </c>
    </row>
    <row r="41" spans="1:57" ht="14.25" customHeight="1" x14ac:dyDescent="0.2">
      <c r="C41" s="1" t="str">
        <f t="shared" si="28"/>
        <v>connector</v>
      </c>
      <c r="D41" s="1" t="str">
        <f t="shared" si="29"/>
        <v>pipe</v>
      </c>
      <c r="E41" s="2" t="s">
        <v>230</v>
      </c>
      <c r="F41" s="2" t="s">
        <v>8</v>
      </c>
      <c r="I41" s="3"/>
      <c r="J41" s="10" t="s">
        <v>220</v>
      </c>
      <c r="K41" s="10"/>
      <c r="L41" s="10"/>
      <c r="M41" s="10"/>
      <c r="N41" s="4" t="s">
        <v>10</v>
      </c>
      <c r="Q41" s="2" t="s">
        <v>220</v>
      </c>
      <c r="T41" s="2" t="s">
        <v>221</v>
      </c>
      <c r="U41" s="2" t="s">
        <v>222</v>
      </c>
      <c r="V41" s="9" t="str">
        <f t="shared" si="30"/>
        <v>[required('A')</v>
      </c>
      <c r="W41" s="9" t="str">
        <f t="shared" si="31"/>
        <v/>
      </c>
      <c r="X41" s="9" t="str">
        <f t="shared" si="32"/>
        <v/>
      </c>
      <c r="Y41" s="9" t="str">
        <f t="shared" si="33"/>
        <v/>
      </c>
      <c r="Z41" t="str">
        <f t="shared" si="34"/>
        <v>[required('A')]</v>
      </c>
      <c r="AA41" s="1" t="str">
        <f t="shared" si="35"/>
        <v>['O'</v>
      </c>
      <c r="AB41" t="str">
        <f t="shared" si="36"/>
        <v/>
      </c>
      <c r="AC41" t="str">
        <f t="shared" si="37"/>
        <v/>
      </c>
      <c r="AD41" t="str">
        <f t="shared" si="38"/>
        <v>['O']</v>
      </c>
      <c r="AE41" t="str">
        <f t="shared" si="39"/>
        <v>section(horpipe, 'connector').&lt;&gt;subsection(horpipe, 'pipe').&lt;&gt;description(horpipe, 'bidi pipe connection').&lt;&gt;visual_style(horpipe,  visual_style16</v>
      </c>
      <c r="AF41" t="str">
        <f t="shared" si="40"/>
        <v>visual_style16</v>
      </c>
      <c r="AG41">
        <f t="shared" si="41"/>
        <v>16</v>
      </c>
      <c r="AH41" t="str">
        <f t="shared" si="14"/>
        <v>&lt;&gt;%  ===== horpipe ===========&lt;&gt;section(horpipe, 'connector').&lt;&gt;subsection(horpipe, 'pipe').&lt;&gt;description(horpipe, 'bidi pipe connection').&lt;&gt;visual_style(horpipe,  visual_style16).&lt;&gt;inputs(horpipe, [required('A')]).&lt;&gt;outputs(horpipe, ['O']).&lt;&gt;input_types(horpipe, [any]).&lt;&gt;output_types(horpipe, [any]).&lt;&gt;image_name(horpipe, '/img/blocks/blocksheet0-_04.png').&lt;&gt;</v>
      </c>
      <c r="AI41" t="str">
        <f t="shared" si="42"/>
        <v>[any</v>
      </c>
      <c r="AJ41" t="str">
        <f t="shared" si="43"/>
        <v/>
      </c>
      <c r="AK41" t="str">
        <f t="shared" si="44"/>
        <v/>
      </c>
      <c r="AL41" s="11" t="str">
        <f t="shared" si="45"/>
        <v/>
      </c>
      <c r="AM41" t="str">
        <f t="shared" si="46"/>
        <v>[any</v>
      </c>
      <c r="AN41" t="str">
        <f t="shared" si="47"/>
        <v/>
      </c>
      <c r="AO41" s="11" t="str">
        <f t="shared" si="48"/>
        <v/>
      </c>
      <c r="AP41" t="str">
        <f t="shared" si="49"/>
        <v>[any]</v>
      </c>
      <c r="AQ41" t="str">
        <f t="shared" si="50"/>
        <v>[any]</v>
      </c>
      <c r="AU41">
        <v>1</v>
      </c>
      <c r="AV41">
        <v>1</v>
      </c>
      <c r="AW41">
        <v>0</v>
      </c>
      <c r="AX41">
        <v>2</v>
      </c>
      <c r="AY41">
        <v>0</v>
      </c>
      <c r="AZ41">
        <v>1</v>
      </c>
      <c r="BA41">
        <v>1</v>
      </c>
      <c r="BB41" t="s">
        <v>265</v>
      </c>
      <c r="BC41">
        <v>20</v>
      </c>
      <c r="BD41">
        <f>BD40+1</f>
        <v>2</v>
      </c>
      <c r="BE41" t="str">
        <f t="shared" si="24"/>
        <v>&lt;&gt;%  ===== horpipe ===========&lt;&gt;section(horpipe, 'connector').&lt;&gt;subsection(horpipe, 'pipe').&lt;&gt;description(horpipe, 'bidi pipe connection').&lt;&gt;visual_style(horpipe,  visual_style16).&lt;&gt;inputs(horpipe, [required('A')]).&lt;&gt;outputs(horpipe, ['O']).&lt;&gt;input_types(horpipe, [any]).&lt;&gt;output_types(horpipe, [any]).&lt;&gt;image_name(horpipe, '/img/blocks/blocksheet0-_04.png').&lt;&gt;prototype_coordinates(horpipe, 20, 2).&lt;&gt;icon_size(horpipe, 1, 1).&lt;&gt;</v>
      </c>
    </row>
    <row r="42" spans="1:57" ht="14.25" customHeight="1" x14ac:dyDescent="0.2">
      <c r="C42" s="1" t="str">
        <f t="shared" si="28"/>
        <v>connector</v>
      </c>
      <c r="D42" s="1" t="str">
        <f t="shared" si="29"/>
        <v>pipe</v>
      </c>
      <c r="E42" s="2" t="s">
        <v>231</v>
      </c>
      <c r="F42" s="2" t="s">
        <v>8</v>
      </c>
      <c r="G42" s="2" t="s">
        <v>9</v>
      </c>
      <c r="I42" s="3"/>
      <c r="J42" s="10" t="s">
        <v>220</v>
      </c>
      <c r="K42" s="10" t="s">
        <v>220</v>
      </c>
      <c r="L42" s="10"/>
      <c r="M42" s="10"/>
      <c r="N42" s="4" t="s">
        <v>232</v>
      </c>
      <c r="O42" s="2" t="s">
        <v>233</v>
      </c>
      <c r="Q42" s="2" t="s">
        <v>220</v>
      </c>
      <c r="R42" s="2" t="s">
        <v>220</v>
      </c>
      <c r="T42" s="2" t="s">
        <v>221</v>
      </c>
      <c r="U42" s="2" t="s">
        <v>222</v>
      </c>
      <c r="V42" s="9" t="str">
        <f t="shared" si="30"/>
        <v>[required('A')</v>
      </c>
      <c r="W42" s="9" t="str">
        <f t="shared" si="31"/>
        <v>, required('B')</v>
      </c>
      <c r="X42" s="9" t="str">
        <f t="shared" si="32"/>
        <v/>
      </c>
      <c r="Y42" s="9" t="str">
        <f t="shared" si="33"/>
        <v/>
      </c>
      <c r="Z42" t="str">
        <f t="shared" si="34"/>
        <v>[required('A'), required('B')]</v>
      </c>
      <c r="AA42" s="1" t="str">
        <f t="shared" si="35"/>
        <v>['OA'</v>
      </c>
      <c r="AB42" t="str">
        <f t="shared" si="36"/>
        <v>, 'OB'</v>
      </c>
      <c r="AC42" t="str">
        <f t="shared" si="37"/>
        <v/>
      </c>
      <c r="AD42" t="str">
        <f t="shared" si="38"/>
        <v>['OA', 'OB']</v>
      </c>
      <c r="AE42" t="str">
        <f t="shared" si="39"/>
        <v>section(cross, 'connector').&lt;&gt;subsection(cross, 'pipe').&lt;&gt;description(cross, 'bidi pipe connection').&lt;&gt;visual_style(cross,  visual_style17</v>
      </c>
      <c r="AF42" t="str">
        <f t="shared" si="40"/>
        <v>visual_style17</v>
      </c>
      <c r="AG42">
        <f t="shared" si="41"/>
        <v>17</v>
      </c>
      <c r="AH42" t="str">
        <f t="shared" si="14"/>
        <v>&lt;&gt;%  ===== cross ===========&lt;&gt;section(cross, 'connector').&lt;&gt;subsection(cross, 'pipe').&lt;&gt;description(cross, 'bidi pipe connection').&lt;&gt;visual_style(cross,  visual_style17).&lt;&gt;inputs(cross, [required('A'), required('B')]).&lt;&gt;outputs(cross, ['OA', 'OB']).&lt;&gt;input_types(cross, [any, any]).&lt;&gt;output_types(cross, [any, any]).&lt;&gt;image_name(cross, '/img/blocks/blocksheet0-_05.png').&lt;&gt;</v>
      </c>
      <c r="AI42" t="str">
        <f t="shared" si="42"/>
        <v>[any</v>
      </c>
      <c r="AJ42" t="str">
        <f t="shared" si="43"/>
        <v>, any</v>
      </c>
      <c r="AK42" t="str">
        <f t="shared" si="44"/>
        <v/>
      </c>
      <c r="AL42" s="11" t="str">
        <f t="shared" si="45"/>
        <v/>
      </c>
      <c r="AM42" t="str">
        <f t="shared" si="46"/>
        <v>[any</v>
      </c>
      <c r="AN42" t="str">
        <f t="shared" si="47"/>
        <v>, any</v>
      </c>
      <c r="AO42" s="11" t="str">
        <f t="shared" si="48"/>
        <v/>
      </c>
      <c r="AP42" t="str">
        <f t="shared" si="49"/>
        <v>[any, any]</v>
      </c>
      <c r="AQ42" t="str">
        <f t="shared" si="50"/>
        <v>[any, any]</v>
      </c>
      <c r="AU42">
        <v>1</v>
      </c>
      <c r="AV42">
        <v>1</v>
      </c>
      <c r="AW42">
        <v>0</v>
      </c>
      <c r="AX42">
        <v>3</v>
      </c>
      <c r="AY42">
        <v>0</v>
      </c>
      <c r="AZ42">
        <v>1</v>
      </c>
      <c r="BA42">
        <v>1</v>
      </c>
      <c r="BB42" t="s">
        <v>266</v>
      </c>
      <c r="BC42">
        <v>20</v>
      </c>
      <c r="BD42">
        <f t="shared" ref="BD42:BD45" si="51">BD41+1</f>
        <v>3</v>
      </c>
      <c r="BE42" t="str">
        <f t="shared" si="24"/>
        <v>&lt;&gt;%  ===== cross ===========&lt;&gt;section(cross, 'connector').&lt;&gt;subsection(cross, 'pipe').&lt;&gt;description(cross, 'bidi pipe connection').&lt;&gt;visual_style(cross,  visual_style17).&lt;&gt;inputs(cross, [required('A'), required('B')]).&lt;&gt;outputs(cross, ['OA', 'OB']).&lt;&gt;input_types(cross, [any, any]).&lt;&gt;output_types(cross, [any, any]).&lt;&gt;image_name(cross, '/img/blocks/blocksheet0-_05.png').&lt;&gt;prototype_coordinates(cross, 20, 3).&lt;&gt;icon_size(cross, 1, 1).&lt;&gt;</v>
      </c>
    </row>
    <row r="43" spans="1:57" ht="14.25" customHeight="1" x14ac:dyDescent="0.2">
      <c r="C43" s="1" t="str">
        <f t="shared" si="28"/>
        <v>connector</v>
      </c>
      <c r="D43" s="1" t="str">
        <f t="shared" si="29"/>
        <v>pipe</v>
      </c>
      <c r="E43" s="2" t="s">
        <v>234</v>
      </c>
      <c r="F43" s="2" t="s">
        <v>8</v>
      </c>
      <c r="I43" s="3"/>
      <c r="J43" s="10" t="s">
        <v>220</v>
      </c>
      <c r="K43" s="10"/>
      <c r="L43" s="10"/>
      <c r="M43" s="10"/>
      <c r="N43" s="4" t="s">
        <v>10</v>
      </c>
      <c r="Q43" s="2" t="s">
        <v>220</v>
      </c>
      <c r="T43" s="2" t="s">
        <v>221</v>
      </c>
      <c r="U43" s="2" t="s">
        <v>222</v>
      </c>
      <c r="V43" s="9" t="str">
        <f t="shared" si="30"/>
        <v>[required('A')</v>
      </c>
      <c r="W43" s="9" t="str">
        <f t="shared" si="31"/>
        <v/>
      </c>
      <c r="X43" s="9" t="str">
        <f t="shared" si="32"/>
        <v/>
      </c>
      <c r="Y43" s="9" t="str">
        <f t="shared" si="33"/>
        <v/>
      </c>
      <c r="Z43" t="str">
        <f t="shared" si="34"/>
        <v>[required('A')]</v>
      </c>
      <c r="AA43" s="1" t="str">
        <f t="shared" si="35"/>
        <v>['O'</v>
      </c>
      <c r="AB43" t="str">
        <f t="shared" si="36"/>
        <v/>
      </c>
      <c r="AC43" t="str">
        <f t="shared" si="37"/>
        <v/>
      </c>
      <c r="AD43" t="str">
        <f t="shared" si="38"/>
        <v>['O']</v>
      </c>
      <c r="AE43" t="str">
        <f t="shared" si="39"/>
        <v>section(urbend, 'connector').&lt;&gt;subsection(urbend, 'pipe').&lt;&gt;description(urbend, 'bidi pipe connection').&lt;&gt;visual_style(urbend,  visual_style18</v>
      </c>
      <c r="AF43" t="str">
        <f t="shared" si="40"/>
        <v>visual_style18</v>
      </c>
      <c r="AG43">
        <f t="shared" si="41"/>
        <v>18</v>
      </c>
      <c r="AH43" t="str">
        <f t="shared" si="14"/>
        <v>&lt;&gt;%  ===== urbend ===========&lt;&gt;section(urbend, 'connector').&lt;&gt;subsection(urbend, 'pipe').&lt;&gt;description(urbend, 'bidi pipe connection').&lt;&gt;visual_style(urbend,  visual_style18).&lt;&gt;inputs(urbend, [required('A')]).&lt;&gt;outputs(urbend, ['O']).&lt;&gt;input_types(urbend, [any]).&lt;&gt;output_types(urbend, [any]).&lt;&gt;image_name(urbend, '/img/blocks/blocksheet0-_14.png').&lt;&gt;</v>
      </c>
      <c r="AI43" t="str">
        <f t="shared" si="42"/>
        <v>[any</v>
      </c>
      <c r="AJ43" t="str">
        <f t="shared" si="43"/>
        <v/>
      </c>
      <c r="AK43" t="str">
        <f t="shared" si="44"/>
        <v/>
      </c>
      <c r="AL43" s="11" t="str">
        <f t="shared" si="45"/>
        <v/>
      </c>
      <c r="AM43" t="str">
        <f t="shared" si="46"/>
        <v>[any</v>
      </c>
      <c r="AN43" t="str">
        <f t="shared" si="47"/>
        <v/>
      </c>
      <c r="AO43" s="11" t="str">
        <f t="shared" si="48"/>
        <v/>
      </c>
      <c r="AP43" t="str">
        <f t="shared" si="49"/>
        <v>[any]</v>
      </c>
      <c r="AQ43" t="str">
        <f t="shared" si="50"/>
        <v>[any]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1</v>
      </c>
      <c r="BB43" t="s">
        <v>267</v>
      </c>
      <c r="BC43">
        <v>20</v>
      </c>
      <c r="BD43">
        <f t="shared" si="51"/>
        <v>4</v>
      </c>
      <c r="BE43" t="str">
        <f t="shared" si="24"/>
        <v>&lt;&gt;%  ===== urbend ===========&lt;&gt;section(urbend, 'connector').&lt;&gt;subsection(urbend, 'pipe').&lt;&gt;description(urbend, 'bidi pipe connection').&lt;&gt;visual_style(urbend,  visual_style18).&lt;&gt;inputs(urbend, [required('A')]).&lt;&gt;outputs(urbend, ['O']).&lt;&gt;input_types(urbend, [any]).&lt;&gt;output_types(urbend, [any]).&lt;&gt;image_name(urbend, '/img/blocks/blocksheet0-_14.png').&lt;&gt;prototype_coordinates(urbend, 20, 4).&lt;&gt;icon_size(urbend, 1, 1).&lt;&gt;</v>
      </c>
    </row>
    <row r="44" spans="1:57" ht="14.25" customHeight="1" x14ac:dyDescent="0.2">
      <c r="C44" s="1" t="str">
        <f t="shared" si="28"/>
        <v>connector</v>
      </c>
      <c r="D44" s="1" t="str">
        <f t="shared" si="29"/>
        <v>pipe</v>
      </c>
      <c r="E44" s="2" t="s">
        <v>235</v>
      </c>
      <c r="F44" s="2" t="s">
        <v>8</v>
      </c>
      <c r="I44" s="3"/>
      <c r="J44" s="10" t="s">
        <v>220</v>
      </c>
      <c r="K44" s="10"/>
      <c r="L44" s="10"/>
      <c r="M44" s="10"/>
      <c r="N44" s="4" t="s">
        <v>10</v>
      </c>
      <c r="Q44" s="2" t="s">
        <v>220</v>
      </c>
      <c r="T44" s="2" t="s">
        <v>221</v>
      </c>
      <c r="U44" s="2" t="s">
        <v>222</v>
      </c>
      <c r="V44" s="9" t="str">
        <f t="shared" si="30"/>
        <v>[required('A')</v>
      </c>
      <c r="W44" s="9" t="str">
        <f t="shared" si="31"/>
        <v/>
      </c>
      <c r="X44" s="9" t="str">
        <f t="shared" si="32"/>
        <v/>
      </c>
      <c r="Y44" s="9" t="str">
        <f t="shared" si="33"/>
        <v/>
      </c>
      <c r="Z44" t="str">
        <f t="shared" si="34"/>
        <v>[required('A')]</v>
      </c>
      <c r="AA44" s="1" t="str">
        <f t="shared" si="35"/>
        <v>['O'</v>
      </c>
      <c r="AB44" t="str">
        <f t="shared" si="36"/>
        <v/>
      </c>
      <c r="AC44" t="str">
        <f t="shared" si="37"/>
        <v/>
      </c>
      <c r="AD44" t="str">
        <f t="shared" si="38"/>
        <v>['O']</v>
      </c>
      <c r="AE44" t="str">
        <f t="shared" si="39"/>
        <v>section(ulbend, 'connector').&lt;&gt;subsection(ulbend, 'pipe').&lt;&gt;description(ulbend, 'bidi pipe connection').&lt;&gt;visual_style(ulbend,  visual_style19</v>
      </c>
      <c r="AF44" t="str">
        <f t="shared" si="40"/>
        <v>visual_style19</v>
      </c>
      <c r="AG44">
        <f t="shared" si="41"/>
        <v>19</v>
      </c>
      <c r="AH44" t="str">
        <f t="shared" si="14"/>
        <v>&lt;&gt;%  ===== ulbend ===========&lt;&gt;section(ulbend, 'connector').&lt;&gt;subsection(ulbend, 'pipe').&lt;&gt;description(ulbend, 'bidi pipe connection').&lt;&gt;visual_style(ulbend,  visual_style19).&lt;&gt;inputs(ulbend, [required('A')]).&lt;&gt;outputs(ulbend, ['O']).&lt;&gt;input_types(ulbend, [any]).&lt;&gt;output_types(ulbend, [any]).&lt;&gt;image_name(ulbend, '/img/blocks/blocksheet0-_11.png').&lt;&gt;</v>
      </c>
      <c r="AI44" t="str">
        <f t="shared" si="42"/>
        <v>[any</v>
      </c>
      <c r="AJ44" t="str">
        <f t="shared" si="43"/>
        <v/>
      </c>
      <c r="AK44" t="str">
        <f t="shared" si="44"/>
        <v/>
      </c>
      <c r="AL44" s="11" t="str">
        <f t="shared" si="45"/>
        <v/>
      </c>
      <c r="AM44" t="str">
        <f t="shared" si="46"/>
        <v>[any</v>
      </c>
      <c r="AN44" t="str">
        <f t="shared" si="47"/>
        <v/>
      </c>
      <c r="AO44" s="11" t="str">
        <f t="shared" si="48"/>
        <v/>
      </c>
      <c r="AP44" t="str">
        <f t="shared" si="49"/>
        <v>[any]</v>
      </c>
      <c r="AQ44" t="str">
        <f t="shared" si="50"/>
        <v>[any]</v>
      </c>
      <c r="AU44">
        <v>1</v>
      </c>
      <c r="AV44">
        <v>1</v>
      </c>
      <c r="AW44">
        <v>0</v>
      </c>
      <c r="AX44">
        <v>1</v>
      </c>
      <c r="AY44">
        <v>1</v>
      </c>
      <c r="AZ44">
        <v>1</v>
      </c>
      <c r="BA44">
        <v>1</v>
      </c>
      <c r="BB44" t="s">
        <v>268</v>
      </c>
      <c r="BC44">
        <v>20</v>
      </c>
      <c r="BD44">
        <f t="shared" si="51"/>
        <v>5</v>
      </c>
      <c r="BE44" t="str">
        <f t="shared" si="24"/>
        <v>&lt;&gt;%  ===== ulbend ===========&lt;&gt;section(ulbend, 'connector').&lt;&gt;subsection(ulbend, 'pipe').&lt;&gt;description(ulbend, 'bidi pipe connection').&lt;&gt;visual_style(ulbend,  visual_style19).&lt;&gt;inputs(ulbend, [required('A')]).&lt;&gt;outputs(ulbend, ['O']).&lt;&gt;input_types(ulbend, [any]).&lt;&gt;output_types(ulbend, [any]).&lt;&gt;image_name(ulbend, '/img/blocks/blocksheet0-_11.png').&lt;&gt;prototype_coordinates(ulbend, 20, 5).&lt;&gt;icon_size(ulbend, 1, 1).&lt;&gt;</v>
      </c>
    </row>
    <row r="45" spans="1:57" ht="14.25" customHeight="1" x14ac:dyDescent="0.2">
      <c r="C45" s="1" t="str">
        <f t="shared" si="28"/>
        <v>connector</v>
      </c>
      <c r="D45" s="1" t="str">
        <f t="shared" si="29"/>
        <v>pipe</v>
      </c>
      <c r="E45" s="2" t="s">
        <v>236</v>
      </c>
      <c r="F45" s="2" t="s">
        <v>8</v>
      </c>
      <c r="I45" s="3"/>
      <c r="J45" s="10" t="s">
        <v>220</v>
      </c>
      <c r="K45" s="10"/>
      <c r="L45" s="10"/>
      <c r="M45" s="10"/>
      <c r="N45" s="4" t="s">
        <v>232</v>
      </c>
      <c r="O45" s="2" t="s">
        <v>233</v>
      </c>
      <c r="P45" s="3" t="s">
        <v>237</v>
      </c>
      <c r="Q45" s="2" t="s">
        <v>220</v>
      </c>
      <c r="R45" s="2" t="s">
        <v>220</v>
      </c>
      <c r="S45" s="2" t="s">
        <v>220</v>
      </c>
      <c r="T45" s="2" t="s">
        <v>221</v>
      </c>
      <c r="U45" s="2" t="s">
        <v>222</v>
      </c>
      <c r="V45" s="9" t="str">
        <f t="shared" si="30"/>
        <v>[required('A')</v>
      </c>
      <c r="W45" s="9" t="str">
        <f t="shared" si="31"/>
        <v/>
      </c>
      <c r="X45" s="9" t="str">
        <f t="shared" si="32"/>
        <v/>
      </c>
      <c r="Y45" s="9" t="str">
        <f t="shared" si="33"/>
        <v/>
      </c>
      <c r="Z45" t="str">
        <f t="shared" si="34"/>
        <v>[required('A')]</v>
      </c>
      <c r="AA45" s="1" t="str">
        <f t="shared" si="35"/>
        <v>['OA'</v>
      </c>
      <c r="AB45" t="str">
        <f t="shared" si="36"/>
        <v>, 'OB'</v>
      </c>
      <c r="AC45" t="str">
        <f t="shared" si="37"/>
        <v>, 'OC'</v>
      </c>
      <c r="AD45" t="str">
        <f t="shared" si="38"/>
        <v>['OA', 'OB', 'OC']</v>
      </c>
      <c r="AE45" t="str">
        <f t="shared" si="39"/>
        <v>section(distributor, 'connector').&lt;&gt;subsection(distributor, 'pipe').&lt;&gt;description(distributor, 'bidi pipe connection').&lt;&gt;visual_style(distributor,  visual_style20</v>
      </c>
      <c r="AF45" t="str">
        <f t="shared" si="40"/>
        <v>visual_style20</v>
      </c>
      <c r="AG45">
        <f t="shared" si="41"/>
        <v>20</v>
      </c>
      <c r="AH45" t="str">
        <f t="shared" si="14"/>
        <v>&lt;&gt;%  ===== distributor ===========&lt;&gt;section(distributor, 'connector').&lt;&gt;subsection(distributor, 'pipe').&lt;&gt;description(distributor, 'bidi pipe connection').&lt;&gt;visual_style(distributor,  visual_style20).&lt;&gt;inputs(distributor, [required('A')]).&lt;&gt;outputs(distributor, ['OA', 'OB', 'OC']).&lt;&gt;input_types(distributor, [any]).&lt;&gt;output_types(distributor, [any, any, any]).&lt;&gt;image_name(distributor, '/img/blocks/blocksheet0-_09.png').&lt;&gt;</v>
      </c>
      <c r="AI45" t="str">
        <f t="shared" si="42"/>
        <v>[any</v>
      </c>
      <c r="AJ45" t="str">
        <f t="shared" si="43"/>
        <v/>
      </c>
      <c r="AK45" t="str">
        <f t="shared" si="44"/>
        <v/>
      </c>
      <c r="AL45" s="11" t="str">
        <f t="shared" si="45"/>
        <v/>
      </c>
      <c r="AM45" t="str">
        <f t="shared" si="46"/>
        <v>[any</v>
      </c>
      <c r="AN45" t="str">
        <f t="shared" si="47"/>
        <v>, any</v>
      </c>
      <c r="AO45" s="11" t="str">
        <f t="shared" si="48"/>
        <v>, any</v>
      </c>
      <c r="AP45" t="str">
        <f t="shared" si="49"/>
        <v>[any]</v>
      </c>
      <c r="AQ45" t="str">
        <f t="shared" si="50"/>
        <v>[any, any, any]</v>
      </c>
      <c r="AU45">
        <v>1</v>
      </c>
      <c r="AV45">
        <v>1</v>
      </c>
      <c r="AW45">
        <v>0</v>
      </c>
      <c r="AX45">
        <v>2</v>
      </c>
      <c r="AY45">
        <v>1</v>
      </c>
      <c r="AZ45">
        <v>1</v>
      </c>
      <c r="BA45">
        <v>1</v>
      </c>
      <c r="BB45" t="s">
        <v>269</v>
      </c>
      <c r="BC45">
        <v>20</v>
      </c>
      <c r="BD45">
        <f t="shared" si="51"/>
        <v>6</v>
      </c>
      <c r="BE45" t="str">
        <f t="shared" si="24"/>
        <v>&lt;&gt;%  ===== distributor ===========&lt;&gt;section(distributor, 'connector').&lt;&gt;subsection(distributor, 'pipe').&lt;&gt;description(distributor, 'bidi pipe connection').&lt;&gt;visual_style(distributor,  visual_style20).&lt;&gt;inputs(distributor, [required('A')]).&lt;&gt;outputs(distributor, ['OA', 'OB', 'OC']).&lt;&gt;input_types(distributor, [any]).&lt;&gt;output_types(distributor, [any, any, any]).&lt;&gt;image_name(distributor, '/img/blocks/blocksheet0-_09.png').&lt;&gt;prototype_coordinates(distributor, 20, 6).&lt;&gt;icon_size(distributor, 1, 1).&lt;&gt;</v>
      </c>
    </row>
    <row r="46" spans="1:57" ht="14.25" customHeight="1" x14ac:dyDescent="0.2">
      <c r="C46" s="1" t="str">
        <f t="shared" si="28"/>
        <v>connector</v>
      </c>
      <c r="D46" s="1" t="str">
        <f t="shared" si="29"/>
        <v>pipe</v>
      </c>
      <c r="E46" s="2" t="s">
        <v>270</v>
      </c>
      <c r="F46" s="2" t="s">
        <v>8</v>
      </c>
      <c r="I46" s="3"/>
      <c r="J46" s="10" t="s">
        <v>220</v>
      </c>
      <c r="K46" s="10"/>
      <c r="L46" s="10"/>
      <c r="M46" s="10"/>
      <c r="N46" s="4" t="s">
        <v>232</v>
      </c>
      <c r="Q46" s="2" t="s">
        <v>220</v>
      </c>
      <c r="T46" s="2" t="s">
        <v>221</v>
      </c>
      <c r="U46" s="2" t="s">
        <v>222</v>
      </c>
      <c r="V46" s="9" t="str">
        <f t="shared" si="30"/>
        <v>[required('A')</v>
      </c>
      <c r="W46" s="9" t="str">
        <f t="shared" si="31"/>
        <v/>
      </c>
      <c r="X46" s="9" t="str">
        <f t="shared" si="32"/>
        <v/>
      </c>
      <c r="Y46" s="9" t="str">
        <f t="shared" si="33"/>
        <v/>
      </c>
      <c r="Z46" t="str">
        <f t="shared" si="34"/>
        <v>[required('A')]</v>
      </c>
      <c r="AA46" s="1" t="str">
        <f t="shared" si="35"/>
        <v>['OA'</v>
      </c>
      <c r="AB46" t="str">
        <f t="shared" si="36"/>
        <v/>
      </c>
      <c r="AC46" t="str">
        <f t="shared" si="37"/>
        <v/>
      </c>
      <c r="AD46" t="str">
        <f t="shared" si="38"/>
        <v>['OA']</v>
      </c>
      <c r="AE46" t="str">
        <f t="shared" si="39"/>
        <v>section(vertpipe, 'connector').&lt;&gt;subsection(vertpipe, 'pipe').&lt;&gt;description(vertpipe, 'bidi pipe connection').&lt;&gt;visual_style(vertpipe,  visual_style21</v>
      </c>
      <c r="AF46" t="str">
        <f t="shared" si="40"/>
        <v>visual_style21</v>
      </c>
      <c r="AG46">
        <f t="shared" si="41"/>
        <v>21</v>
      </c>
      <c r="AH46" t="str">
        <f t="shared" si="14"/>
        <v>&lt;&gt;%  ===== vertpipe ===========&lt;&gt;section(vertpipe, 'connector').&lt;&gt;subsection(vertpipe, 'pipe').&lt;&gt;description(vertpipe, 'bidi pipe connection').&lt;&gt;visual_style(vertpipe,  visual_style21).&lt;&gt;inputs(vertpipe, [required('A')]).&lt;&gt;outputs(vertpipe, ['OA']).&lt;&gt;input_types(vertpipe, [any]).&lt;&gt;output_types(vertpipe, [any]).&lt;&gt;image_name(vertpipe, '/img/blocks/blocksheet0-_08.png').&lt;&gt;</v>
      </c>
      <c r="AI46" t="str">
        <f t="shared" si="42"/>
        <v>[any</v>
      </c>
      <c r="AJ46" t="str">
        <f t="shared" si="43"/>
        <v/>
      </c>
      <c r="AK46" t="str">
        <f t="shared" si="44"/>
        <v/>
      </c>
      <c r="AL46" s="11" t="str">
        <f t="shared" si="45"/>
        <v/>
      </c>
      <c r="AM46" t="str">
        <f t="shared" si="46"/>
        <v>[any</v>
      </c>
      <c r="AN46" t="str">
        <f t="shared" si="47"/>
        <v/>
      </c>
      <c r="AO46" s="11" t="str">
        <f t="shared" si="48"/>
        <v/>
      </c>
      <c r="AP46" t="str">
        <f t="shared" si="49"/>
        <v>[any]</v>
      </c>
      <c r="AQ46" t="str">
        <f t="shared" si="50"/>
        <v>[any]</v>
      </c>
      <c r="AZ46">
        <v>1</v>
      </c>
      <c r="BA46">
        <v>1</v>
      </c>
      <c r="BB46" t="s">
        <v>287</v>
      </c>
      <c r="BC46">
        <v>20</v>
      </c>
      <c r="BD46">
        <v>7</v>
      </c>
      <c r="BE46" t="str">
        <f t="shared" si="24"/>
        <v>&lt;&gt;%  ===== vertpipe ===========&lt;&gt;section(vertpipe, 'connector').&lt;&gt;subsection(vertpipe, 'pipe').&lt;&gt;description(vertpipe, 'bidi pipe connection').&lt;&gt;visual_style(vertpipe,  visual_style21).&lt;&gt;inputs(vertpipe, [required('A')]).&lt;&gt;outputs(vertpipe, ['OA']).&lt;&gt;input_types(vertpipe, [any]).&lt;&gt;output_types(vertpipe, [any]).&lt;&gt;image_name(vertpipe, '/img/blocks/blocksheet0-_08.png').&lt;&gt;prototype_coordinates(vertpipe, 20, 7).&lt;&gt;icon_size(vertpipe, 1, 1).&lt;&gt;</v>
      </c>
    </row>
    <row r="47" spans="1:57" ht="14.25" customHeight="1" x14ac:dyDescent="0.2">
      <c r="A47" s="2" t="s">
        <v>89</v>
      </c>
      <c r="C47" s="1" t="str">
        <f t="shared" ref="C47" si="52">IF(ISBLANK(A47),C46,A47)</f>
        <v>CV</v>
      </c>
      <c r="D47" s="1" t="str">
        <f t="shared" ref="D47" si="53">IF(NOT(ISBLANK(B47)), B47, IF(ISBLANK(A47), D46,A47))</f>
        <v>CV</v>
      </c>
      <c r="I47" s="3"/>
      <c r="J47" s="10"/>
      <c r="K47" s="10"/>
      <c r="L47" s="10"/>
      <c r="M47" s="10"/>
      <c r="N47" s="4"/>
      <c r="V47" s="9" t="str">
        <f t="shared" si="3"/>
        <v>[</v>
      </c>
      <c r="W47" s="9" t="str">
        <f t="shared" si="4"/>
        <v/>
      </c>
      <c r="X47" s="9" t="str">
        <f t="shared" si="5"/>
        <v/>
      </c>
      <c r="Y47" s="9" t="str">
        <f t="shared" si="6"/>
        <v/>
      </c>
      <c r="Z47" t="str">
        <f t="shared" si="7"/>
        <v>[]</v>
      </c>
      <c r="AA47" s="1" t="str">
        <f t="shared" si="8"/>
        <v>[</v>
      </c>
      <c r="AB47" t="str">
        <f t="shared" si="9"/>
        <v/>
      </c>
      <c r="AC47" t="str">
        <f t="shared" si="10"/>
        <v/>
      </c>
      <c r="AD47" t="str">
        <f t="shared" si="11"/>
        <v>[]</v>
      </c>
      <c r="AE47" t="str">
        <f t="shared" si="12"/>
        <v/>
      </c>
      <c r="AF47" t="str">
        <f t="shared" si="13"/>
        <v>visual_style22</v>
      </c>
      <c r="AG47">
        <f t="shared" si="41"/>
        <v>22</v>
      </c>
      <c r="AH47" t="str">
        <f t="shared" si="14"/>
        <v/>
      </c>
      <c r="AI47" t="str">
        <f t="shared" si="15"/>
        <v>[</v>
      </c>
      <c r="AJ47" t="str">
        <f t="shared" si="16"/>
        <v/>
      </c>
      <c r="AK47" t="str">
        <f t="shared" si="17"/>
        <v/>
      </c>
      <c r="AL47" s="11" t="str">
        <f t="shared" si="18"/>
        <v/>
      </c>
      <c r="AM47" t="str">
        <f t="shared" si="19"/>
        <v>[</v>
      </c>
      <c r="AN47" t="str">
        <f t="shared" si="20"/>
        <v/>
      </c>
      <c r="AO47" s="11" t="str">
        <f t="shared" si="21"/>
        <v/>
      </c>
      <c r="AP47" t="str">
        <f t="shared" si="22"/>
        <v>[]</v>
      </c>
      <c r="AQ47" t="str">
        <f t="shared" si="23"/>
        <v>[]</v>
      </c>
      <c r="BE47" t="str">
        <f t="shared" si="24"/>
        <v/>
      </c>
    </row>
    <row r="48" spans="1:57" ht="14.25" customHeight="1" x14ac:dyDescent="0.2">
      <c r="B48" s="2" t="s">
        <v>90</v>
      </c>
      <c r="C48" s="1" t="str">
        <f t="shared" si="26"/>
        <v>CV</v>
      </c>
      <c r="D48" s="1" t="str">
        <f t="shared" si="27"/>
        <v>Image Processing</v>
      </c>
      <c r="I48" s="3"/>
      <c r="J48" s="10"/>
      <c r="K48" s="10"/>
      <c r="L48" s="10"/>
      <c r="M48" s="10"/>
      <c r="N48" s="4"/>
      <c r="V48" s="9" t="str">
        <f t="shared" si="3"/>
        <v>[</v>
      </c>
      <c r="W48" s="9" t="str">
        <f t="shared" si="4"/>
        <v/>
      </c>
      <c r="X48" s="9" t="str">
        <f t="shared" si="5"/>
        <v/>
      </c>
      <c r="Y48" s="9" t="str">
        <f t="shared" si="6"/>
        <v/>
      </c>
      <c r="Z48" t="str">
        <f t="shared" si="7"/>
        <v>[]</v>
      </c>
      <c r="AA48" s="1" t="str">
        <f t="shared" si="8"/>
        <v>[</v>
      </c>
      <c r="AB48" t="str">
        <f t="shared" si="9"/>
        <v/>
      </c>
      <c r="AC48" t="str">
        <f t="shared" si="10"/>
        <v/>
      </c>
      <c r="AD48" t="str">
        <f t="shared" si="11"/>
        <v>[]</v>
      </c>
      <c r="AE48" t="str">
        <f t="shared" si="12"/>
        <v/>
      </c>
      <c r="AF48" t="str">
        <f t="shared" si="13"/>
        <v>visual_style22</v>
      </c>
      <c r="AG48">
        <f t="shared" si="25"/>
        <v>22</v>
      </c>
      <c r="AH48" t="str">
        <f t="shared" si="14"/>
        <v/>
      </c>
      <c r="AI48" t="str">
        <f t="shared" si="15"/>
        <v>[</v>
      </c>
      <c r="AJ48" t="str">
        <f t="shared" si="16"/>
        <v/>
      </c>
      <c r="AK48" t="str">
        <f t="shared" si="17"/>
        <v/>
      </c>
      <c r="AL48" s="11" t="str">
        <f t="shared" si="18"/>
        <v/>
      </c>
      <c r="AM48" t="str">
        <f t="shared" si="19"/>
        <v>[</v>
      </c>
      <c r="AN48" t="str">
        <f t="shared" si="20"/>
        <v/>
      </c>
      <c r="AO48" s="11" t="str">
        <f t="shared" si="21"/>
        <v/>
      </c>
      <c r="AP48" t="str">
        <f t="shared" si="22"/>
        <v>[]</v>
      </c>
      <c r="AQ48" t="str">
        <f t="shared" si="23"/>
        <v>[]</v>
      </c>
      <c r="BE48" t="str">
        <f t="shared" si="24"/>
        <v/>
      </c>
    </row>
    <row r="49" spans="1:57" ht="14.25" customHeight="1" x14ac:dyDescent="0.2">
      <c r="C49" s="1" t="str">
        <f t="shared" si="26"/>
        <v>CV</v>
      </c>
      <c r="D49" s="1" t="str">
        <f t="shared" si="27"/>
        <v>Image Processing</v>
      </c>
      <c r="E49" s="2" t="s">
        <v>91</v>
      </c>
      <c r="I49" s="3"/>
      <c r="J49" s="10"/>
      <c r="K49" s="10"/>
      <c r="L49" s="10"/>
      <c r="M49" s="10"/>
      <c r="N49" s="4" t="s">
        <v>10</v>
      </c>
      <c r="Q49" s="2" t="s">
        <v>137</v>
      </c>
      <c r="T49" s="2" t="s">
        <v>92</v>
      </c>
      <c r="V49" s="9" t="str">
        <f t="shared" si="3"/>
        <v>[</v>
      </c>
      <c r="W49" s="9" t="str">
        <f t="shared" si="4"/>
        <v/>
      </c>
      <c r="X49" s="9" t="str">
        <f t="shared" si="5"/>
        <v/>
      </c>
      <c r="Y49" s="9" t="str">
        <f t="shared" si="6"/>
        <v/>
      </c>
      <c r="Z49" t="str">
        <f t="shared" si="7"/>
        <v>[]</v>
      </c>
      <c r="AA49" s="1" t="str">
        <f t="shared" si="8"/>
        <v>['O'</v>
      </c>
      <c r="AB49" t="str">
        <f t="shared" si="9"/>
        <v/>
      </c>
      <c r="AC49" t="str">
        <f t="shared" si="10"/>
        <v/>
      </c>
      <c r="AD49" t="str">
        <f t="shared" si="11"/>
        <v>['O']</v>
      </c>
      <c r="AE49" t="str">
        <f t="shared" si="12"/>
        <v>section(black, 'CV').&lt;&gt;subsection(black, 'Image Processing').&lt;&gt;description(black, 'outputs a solid black frame the camera size').&lt;&gt;visual_style(black,  normal</v>
      </c>
      <c r="AF49" t="str">
        <f t="shared" si="13"/>
        <v>visual_style22</v>
      </c>
      <c r="AG49">
        <f t="shared" si="25"/>
        <v>22</v>
      </c>
      <c r="AH49" t="str">
        <f t="shared" si="14"/>
        <v>&lt;&gt;%  ===== black ===========&lt;&gt;section(black, 'CV').&lt;&gt;subsection(black, 'Image Processing').&lt;&gt;description(black, 'outputs a solid black frame the camera size').&lt;&gt;visual_style(black,  normal).&lt;&gt;inputs(black, []).&lt;&gt;outputs(black, ['O']).&lt;&gt;input_types(black, []).&lt;&gt;output_types(black, [mask]).&lt;&gt;</v>
      </c>
      <c r="AI49" t="str">
        <f t="shared" si="15"/>
        <v>[</v>
      </c>
      <c r="AJ49" t="str">
        <f t="shared" si="16"/>
        <v/>
      </c>
      <c r="AK49" t="str">
        <f t="shared" si="17"/>
        <v/>
      </c>
      <c r="AL49" s="11" t="str">
        <f t="shared" si="18"/>
        <v/>
      </c>
      <c r="AM49" t="str">
        <f t="shared" si="19"/>
        <v>[mask</v>
      </c>
      <c r="AN49" t="str">
        <f t="shared" si="20"/>
        <v/>
      </c>
      <c r="AO49" s="11" t="str">
        <f t="shared" si="21"/>
        <v/>
      </c>
      <c r="AP49" t="str">
        <f t="shared" si="22"/>
        <v>[]</v>
      </c>
      <c r="AQ49" t="str">
        <f t="shared" si="23"/>
        <v>[mask]</v>
      </c>
      <c r="AT49" t="s">
        <v>171</v>
      </c>
      <c r="BE49" t="str">
        <f t="shared" si="24"/>
        <v>&lt;&gt;%  ===== black ===========&lt;&gt;section(black, 'CV').&lt;&gt;subsection(black, 'Image Processing').&lt;&gt;description(black, 'outputs a solid black frame the camera size').&lt;&gt;visual_style(black,  normal).&lt;&gt;inputs(black, []).&lt;&gt;outputs(black, ['O']).&lt;&gt;input_types(black, []).&lt;&gt;output_types(black, [mask]).&lt;&gt;</v>
      </c>
    </row>
    <row r="50" spans="1:57" ht="14.25" customHeight="1" x14ac:dyDescent="0.2">
      <c r="C50" s="1" t="str">
        <f t="shared" si="26"/>
        <v>CV</v>
      </c>
      <c r="D50" s="1" t="str">
        <f t="shared" si="27"/>
        <v>Image Processing</v>
      </c>
      <c r="E50" s="2" t="s">
        <v>93</v>
      </c>
      <c r="I50" s="3"/>
      <c r="J50" s="10"/>
      <c r="K50" s="10"/>
      <c r="L50" s="10"/>
      <c r="M50" s="10"/>
      <c r="N50" s="4" t="s">
        <v>10</v>
      </c>
      <c r="Q50" s="2" t="s">
        <v>137</v>
      </c>
      <c r="T50" s="2" t="s">
        <v>94</v>
      </c>
      <c r="V50" s="9" t="str">
        <f t="shared" si="3"/>
        <v>[</v>
      </c>
      <c r="W50" s="9" t="str">
        <f t="shared" si="4"/>
        <v/>
      </c>
      <c r="X50" s="9" t="str">
        <f t="shared" si="5"/>
        <v/>
      </c>
      <c r="Y50" s="9" t="str">
        <f t="shared" si="6"/>
        <v/>
      </c>
      <c r="Z50" t="str">
        <f t="shared" si="7"/>
        <v>[]</v>
      </c>
      <c r="AA50" s="1" t="str">
        <f t="shared" si="8"/>
        <v>['O'</v>
      </c>
      <c r="AB50" t="str">
        <f t="shared" si="9"/>
        <v/>
      </c>
      <c r="AC50" t="str">
        <f t="shared" si="10"/>
        <v/>
      </c>
      <c r="AD50" t="str">
        <f t="shared" si="11"/>
        <v>['O']</v>
      </c>
      <c r="AE50" t="str">
        <f t="shared" si="12"/>
        <v>section(white, 'CV').&lt;&gt;subsection(white, 'Image Processing').&lt;&gt;description(white, 'outputs a solid white frame the camera size').&lt;&gt;visual_style(white,  normal</v>
      </c>
      <c r="AF50" t="str">
        <f t="shared" si="13"/>
        <v>visual_style22</v>
      </c>
      <c r="AG50">
        <f t="shared" si="25"/>
        <v>22</v>
      </c>
      <c r="AH50" t="str">
        <f t="shared" si="14"/>
        <v>&lt;&gt;%  ===== white ===========&lt;&gt;section(white, 'CV').&lt;&gt;subsection(white, 'Image Processing').&lt;&gt;description(white, 'outputs a solid white frame the camera size').&lt;&gt;visual_style(white,  normal).&lt;&gt;inputs(white, []).&lt;&gt;outputs(white, ['O']).&lt;&gt;input_types(white, []).&lt;&gt;output_types(white, [mask]).&lt;&gt;</v>
      </c>
      <c r="AI50" t="str">
        <f t="shared" si="15"/>
        <v>[</v>
      </c>
      <c r="AJ50" t="str">
        <f t="shared" si="16"/>
        <v/>
      </c>
      <c r="AK50" t="str">
        <f t="shared" si="17"/>
        <v/>
      </c>
      <c r="AL50" s="11" t="str">
        <f t="shared" si="18"/>
        <v/>
      </c>
      <c r="AM50" t="str">
        <f t="shared" si="19"/>
        <v>[mask</v>
      </c>
      <c r="AN50" t="str">
        <f t="shared" si="20"/>
        <v/>
      </c>
      <c r="AO50" s="11" t="str">
        <f t="shared" si="21"/>
        <v/>
      </c>
      <c r="AP50" t="str">
        <f t="shared" si="22"/>
        <v>[]</v>
      </c>
      <c r="AQ50" t="str">
        <f t="shared" si="23"/>
        <v>[mask]</v>
      </c>
      <c r="AT50" t="s">
        <v>172</v>
      </c>
      <c r="BE50" t="str">
        <f t="shared" si="24"/>
        <v>&lt;&gt;%  ===== white ===========&lt;&gt;section(white, 'CV').&lt;&gt;subsection(white, 'Image Processing').&lt;&gt;description(white, 'outputs a solid white frame the camera size').&lt;&gt;visual_style(white,  normal).&lt;&gt;inputs(white, []).&lt;&gt;outputs(white, ['O']).&lt;&gt;input_types(white, []).&lt;&gt;output_types(white, [mask]).&lt;&gt;</v>
      </c>
    </row>
    <row r="51" spans="1:57" ht="14.25" customHeight="1" x14ac:dyDescent="0.2">
      <c r="C51" s="1" t="str">
        <f t="shared" si="26"/>
        <v>CV</v>
      </c>
      <c r="D51" s="1" t="str">
        <f t="shared" si="27"/>
        <v>Image Processing</v>
      </c>
      <c r="E51" s="2" t="s">
        <v>95</v>
      </c>
      <c r="F51" s="2" t="s">
        <v>8</v>
      </c>
      <c r="G51" s="2" t="s">
        <v>96</v>
      </c>
      <c r="I51" s="3"/>
      <c r="J51" s="10" t="s">
        <v>136</v>
      </c>
      <c r="K51" s="10" t="s">
        <v>37</v>
      </c>
      <c r="L51" s="10"/>
      <c r="M51" s="10"/>
      <c r="N51" s="4" t="s">
        <v>10</v>
      </c>
      <c r="Q51" s="2" t="s">
        <v>137</v>
      </c>
      <c r="T51" s="2" t="s">
        <v>97</v>
      </c>
      <c r="V51" s="9" t="str">
        <f t="shared" si="3"/>
        <v>[required('A')</v>
      </c>
      <c r="W51" s="9" t="str">
        <f t="shared" si="4"/>
        <v>, required('Thresh')</v>
      </c>
      <c r="X51" s="9" t="str">
        <f t="shared" si="5"/>
        <v/>
      </c>
      <c r="Y51" s="9" t="str">
        <f t="shared" si="6"/>
        <v/>
      </c>
      <c r="Z51" t="str">
        <f t="shared" si="7"/>
        <v>[required('A'), required('Thresh')]</v>
      </c>
      <c r="AA51" s="1" t="str">
        <f t="shared" si="8"/>
        <v>['O'</v>
      </c>
      <c r="AB51" t="str">
        <f t="shared" si="9"/>
        <v/>
      </c>
      <c r="AC51" t="str">
        <f t="shared" si="10"/>
        <v/>
      </c>
      <c r="AD51" t="str">
        <f t="shared" si="11"/>
        <v>['O']</v>
      </c>
      <c r="AE51" t="str">
        <f t="shared" si="12"/>
        <v>section(threshold, 'CV').&lt;&gt;subsection(threshold, 'Image Processing').&lt;&gt;description(threshold, 'out is mask with black in areas above threshold').&lt;&gt;visual_style(threshold,  normal</v>
      </c>
      <c r="AF51" t="str">
        <f t="shared" si="13"/>
        <v>visual_style22</v>
      </c>
      <c r="AG51">
        <f t="shared" si="25"/>
        <v>22</v>
      </c>
      <c r="AH51" t="str">
        <f t="shared" si="14"/>
        <v>&lt;&gt;%  ===== threshold ===========&lt;&gt;section(threshold, 'CV').&lt;&gt;subsection(threshold, 'Image Processing').&lt;&gt;description(threshold, 'out is mask with black in areas above threshold').&lt;&gt;visual_style(threshold,  normal).&lt;&gt;inputs(threshold, [required('A'), required('Thresh')]).&lt;&gt;outputs(threshold, ['O']).&lt;&gt;input_types(threshold, [image, proportion]).&lt;&gt;output_types(threshold, [mask]).&lt;&gt;</v>
      </c>
      <c r="AI51" t="str">
        <f t="shared" si="15"/>
        <v>[image</v>
      </c>
      <c r="AJ51" t="str">
        <f t="shared" si="16"/>
        <v>, proportion</v>
      </c>
      <c r="AK51" t="str">
        <f t="shared" si="17"/>
        <v/>
      </c>
      <c r="AL51" s="11" t="str">
        <f t="shared" si="18"/>
        <v/>
      </c>
      <c r="AM51" t="str">
        <f t="shared" si="19"/>
        <v>[mask</v>
      </c>
      <c r="AN51" t="str">
        <f t="shared" si="20"/>
        <v/>
      </c>
      <c r="AO51" s="11" t="str">
        <f t="shared" si="21"/>
        <v/>
      </c>
      <c r="AP51" t="str">
        <f t="shared" si="22"/>
        <v>[image, proportion]</v>
      </c>
      <c r="AQ51" t="str">
        <f t="shared" si="23"/>
        <v>[mask]</v>
      </c>
      <c r="AT51" t="s">
        <v>173</v>
      </c>
      <c r="BE51" t="str">
        <f t="shared" si="24"/>
        <v>&lt;&gt;%  ===== threshold ===========&lt;&gt;section(threshold, 'CV').&lt;&gt;subsection(threshold, 'Image Processing').&lt;&gt;description(threshold, 'out is mask with black in areas above threshold').&lt;&gt;visual_style(threshold,  normal).&lt;&gt;inputs(threshold, [required('A'), required('Thresh')]).&lt;&gt;outputs(threshold, ['O']).&lt;&gt;input_types(threshold, [image, proportion]).&lt;&gt;output_types(threshold, [mask]).&lt;&gt;</v>
      </c>
    </row>
    <row r="52" spans="1:57" ht="14.25" customHeight="1" x14ac:dyDescent="0.2">
      <c r="C52" s="1" t="str">
        <f t="shared" si="26"/>
        <v>CV</v>
      </c>
      <c r="D52" s="1" t="str">
        <f t="shared" si="27"/>
        <v>Image Processing</v>
      </c>
      <c r="E52" s="2" t="s">
        <v>98</v>
      </c>
      <c r="F52" s="2" t="s">
        <v>8</v>
      </c>
      <c r="I52" s="3"/>
      <c r="J52" s="10" t="s">
        <v>136</v>
      </c>
      <c r="K52" s="10"/>
      <c r="L52" s="10"/>
      <c r="M52" s="10"/>
      <c r="N52" s="4" t="s">
        <v>10</v>
      </c>
      <c r="Q52" s="2" t="s">
        <v>98</v>
      </c>
      <c r="T52" s="2" t="s">
        <v>99</v>
      </c>
      <c r="V52" s="9" t="str">
        <f t="shared" si="3"/>
        <v>[required('A')</v>
      </c>
      <c r="W52" s="9" t="str">
        <f t="shared" si="4"/>
        <v/>
      </c>
      <c r="X52" s="9" t="str">
        <f t="shared" si="5"/>
        <v/>
      </c>
      <c r="Y52" s="9" t="str">
        <f t="shared" si="6"/>
        <v/>
      </c>
      <c r="Z52" t="str">
        <f t="shared" si="7"/>
        <v>[required('A')]</v>
      </c>
      <c r="AA52" s="1" t="str">
        <f t="shared" si="8"/>
        <v>['O'</v>
      </c>
      <c r="AB52" t="str">
        <f t="shared" si="9"/>
        <v/>
      </c>
      <c r="AC52" t="str">
        <f t="shared" si="10"/>
        <v/>
      </c>
      <c r="AD52" t="str">
        <f t="shared" si="11"/>
        <v>['O']</v>
      </c>
      <c r="AE52" t="str">
        <f t="shared" si="12"/>
        <v>section(gray, 'CV').&lt;&gt;subsection(gray, 'Image Processing').&lt;&gt;description(gray, 'desaturates an image andoutputs grayscale image').&lt;&gt;visual_style(gray,  normal</v>
      </c>
      <c r="AF52" t="str">
        <f t="shared" si="13"/>
        <v>visual_style22</v>
      </c>
      <c r="AG52">
        <f t="shared" si="25"/>
        <v>22</v>
      </c>
      <c r="AH52" t="str">
        <f t="shared" si="14"/>
        <v>&lt;&gt;%  ===== gray ===========&lt;&gt;section(gray, 'CV').&lt;&gt;subsection(gray, 'Image Processing').&lt;&gt;description(gray, 'desaturates an image andoutputs grayscale image').&lt;&gt;visual_style(gray,  normal).&lt;&gt;inputs(gray, [required('A')]).&lt;&gt;outputs(gray, ['O']).&lt;&gt;input_types(gray, [image]).&lt;&gt;output_types(gray, [gray]).&lt;&gt;</v>
      </c>
      <c r="AI52" t="str">
        <f t="shared" si="15"/>
        <v>[image</v>
      </c>
      <c r="AJ52" t="str">
        <f t="shared" si="16"/>
        <v/>
      </c>
      <c r="AK52" t="str">
        <f t="shared" si="17"/>
        <v/>
      </c>
      <c r="AL52" s="11" t="str">
        <f t="shared" si="18"/>
        <v/>
      </c>
      <c r="AM52" t="str">
        <f t="shared" si="19"/>
        <v>[gray</v>
      </c>
      <c r="AN52" t="str">
        <f t="shared" si="20"/>
        <v/>
      </c>
      <c r="AO52" s="11" t="str">
        <f t="shared" si="21"/>
        <v/>
      </c>
      <c r="AP52" t="str">
        <f t="shared" si="22"/>
        <v>[image]</v>
      </c>
      <c r="AQ52" t="str">
        <f t="shared" si="23"/>
        <v>[gray]</v>
      </c>
      <c r="AT52" t="s">
        <v>174</v>
      </c>
      <c r="BE52" t="str">
        <f t="shared" si="24"/>
        <v>&lt;&gt;%  ===== gray ===========&lt;&gt;section(gray, 'CV').&lt;&gt;subsection(gray, 'Image Processing').&lt;&gt;description(gray, 'desaturates an image andoutputs grayscale image').&lt;&gt;visual_style(gray,  normal).&lt;&gt;inputs(gray, [required('A')]).&lt;&gt;outputs(gray, ['O']).&lt;&gt;input_types(gray, [image]).&lt;&gt;output_types(gray, [gray]).&lt;&gt;</v>
      </c>
    </row>
    <row r="53" spans="1:57" ht="14.25" customHeight="1" x14ac:dyDescent="0.2">
      <c r="C53" s="1" t="str">
        <f t="shared" si="26"/>
        <v>CV</v>
      </c>
      <c r="D53" s="1" t="str">
        <f t="shared" si="27"/>
        <v>Image Processing</v>
      </c>
      <c r="E53" s="2" t="s">
        <v>100</v>
      </c>
      <c r="F53" s="2" t="s">
        <v>8</v>
      </c>
      <c r="I53" s="3"/>
      <c r="J53" s="10" t="s">
        <v>136</v>
      </c>
      <c r="K53" s="10"/>
      <c r="L53" s="10"/>
      <c r="M53" s="10"/>
      <c r="N53" s="4" t="s">
        <v>10</v>
      </c>
      <c r="Q53" s="2" t="s">
        <v>100</v>
      </c>
      <c r="T53" s="2" t="s">
        <v>101</v>
      </c>
      <c r="V53" s="9" t="str">
        <f t="shared" si="3"/>
        <v>[required('A')</v>
      </c>
      <c r="W53" s="9" t="str">
        <f t="shared" si="4"/>
        <v/>
      </c>
      <c r="X53" s="9" t="str">
        <f t="shared" si="5"/>
        <v/>
      </c>
      <c r="Y53" s="9" t="str">
        <f t="shared" si="6"/>
        <v/>
      </c>
      <c r="Z53" t="str">
        <f t="shared" si="7"/>
        <v>[required('A')]</v>
      </c>
      <c r="AA53" s="1" t="str">
        <f t="shared" si="8"/>
        <v>['O'</v>
      </c>
      <c r="AB53" t="str">
        <f t="shared" si="9"/>
        <v/>
      </c>
      <c r="AC53" t="str">
        <f t="shared" si="10"/>
        <v/>
      </c>
      <c r="AD53" t="str">
        <f t="shared" si="11"/>
        <v>['O']</v>
      </c>
      <c r="AE53" t="str">
        <f t="shared" si="12"/>
        <v>section(hdr, 'CV').&lt;&gt;subsection(hdr, 'Image Processing').&lt;&gt;description(hdr, 'converts image to high dynamic range from RGB or gray').&lt;&gt;visual_style(hdr,  normal</v>
      </c>
      <c r="AF53" t="str">
        <f t="shared" si="13"/>
        <v>visual_style22</v>
      </c>
      <c r="AG53">
        <f t="shared" si="25"/>
        <v>22</v>
      </c>
      <c r="AH53" t="str">
        <f t="shared" si="14"/>
        <v>&lt;&gt;%  ===== hdr ===========&lt;&gt;section(hdr, 'CV').&lt;&gt;subsection(hdr, 'Image Processing').&lt;&gt;description(hdr, 'converts image to high dynamic range from RGB or gray').&lt;&gt;visual_style(hdr,  normal).&lt;&gt;inputs(hdr, [required('A')]).&lt;&gt;outputs(hdr, ['O']).&lt;&gt;input_types(hdr, [image]).&lt;&gt;output_types(hdr, [hdr]).&lt;&gt;</v>
      </c>
      <c r="AI53" t="str">
        <f t="shared" si="15"/>
        <v>[image</v>
      </c>
      <c r="AJ53" t="str">
        <f t="shared" si="16"/>
        <v/>
      </c>
      <c r="AK53" t="str">
        <f t="shared" si="17"/>
        <v/>
      </c>
      <c r="AL53" s="11" t="str">
        <f t="shared" si="18"/>
        <v/>
      </c>
      <c r="AM53" t="str">
        <f t="shared" si="19"/>
        <v>[hdr</v>
      </c>
      <c r="AN53" t="str">
        <f t="shared" si="20"/>
        <v/>
      </c>
      <c r="AO53" s="11" t="str">
        <f t="shared" si="21"/>
        <v/>
      </c>
      <c r="AP53" t="str">
        <f t="shared" si="22"/>
        <v>[image]</v>
      </c>
      <c r="AQ53" t="str">
        <f t="shared" si="23"/>
        <v>[hdr]</v>
      </c>
      <c r="BE53" t="str">
        <f t="shared" si="24"/>
        <v>&lt;&gt;%  ===== hdr ===========&lt;&gt;section(hdr, 'CV').&lt;&gt;subsection(hdr, 'Image Processing').&lt;&gt;description(hdr, 'converts image to high dynamic range from RGB or gray').&lt;&gt;visual_style(hdr,  normal).&lt;&gt;inputs(hdr, [required('A')]).&lt;&gt;outputs(hdr, ['O']).&lt;&gt;input_types(hdr, [image]).&lt;&gt;output_types(hdr, [hdr]).&lt;&gt;</v>
      </c>
    </row>
    <row r="54" spans="1:57" ht="14.25" customHeight="1" x14ac:dyDescent="0.2">
      <c r="C54" s="1" t="str">
        <f t="shared" si="26"/>
        <v>CV</v>
      </c>
      <c r="D54" s="1" t="str">
        <f t="shared" si="27"/>
        <v>Image Processing</v>
      </c>
      <c r="E54" s="2" t="s">
        <v>102</v>
      </c>
      <c r="F54" s="2" t="s">
        <v>8</v>
      </c>
      <c r="I54" s="3"/>
      <c r="J54" s="10" t="s">
        <v>100</v>
      </c>
      <c r="K54" s="10"/>
      <c r="L54" s="10"/>
      <c r="M54" s="10"/>
      <c r="N54" s="4" t="s">
        <v>10</v>
      </c>
      <c r="Q54" s="2" t="s">
        <v>136</v>
      </c>
      <c r="T54" s="2" t="s">
        <v>103</v>
      </c>
      <c r="V54" s="9" t="str">
        <f t="shared" si="3"/>
        <v>[required('A')</v>
      </c>
      <c r="W54" s="9" t="str">
        <f t="shared" si="4"/>
        <v/>
      </c>
      <c r="X54" s="9" t="str">
        <f t="shared" si="5"/>
        <v/>
      </c>
      <c r="Y54" s="9" t="str">
        <f t="shared" si="6"/>
        <v/>
      </c>
      <c r="Z54" t="str">
        <f t="shared" si="7"/>
        <v>[required('A')]</v>
      </c>
      <c r="AA54" s="1" t="str">
        <f t="shared" si="8"/>
        <v>['O'</v>
      </c>
      <c r="AB54" t="str">
        <f t="shared" si="9"/>
        <v/>
      </c>
      <c r="AC54" t="str">
        <f t="shared" si="10"/>
        <v/>
      </c>
      <c r="AD54" t="str">
        <f t="shared" si="11"/>
        <v>['O']</v>
      </c>
      <c r="AE54" t="str">
        <f t="shared" si="12"/>
        <v>section(dehdr, 'CV').&lt;&gt;subsection(dehdr, 'Image Processing').&lt;&gt;description(dehdr, 'converts HDR image to RGB').&lt;&gt;visual_style(dehdr,  normal</v>
      </c>
      <c r="AF54" t="str">
        <f t="shared" si="13"/>
        <v>visual_style22</v>
      </c>
      <c r="AG54">
        <f t="shared" si="25"/>
        <v>22</v>
      </c>
      <c r="AH54" t="str">
        <f t="shared" si="14"/>
        <v>&lt;&gt;%  ===== dehdr ===========&lt;&gt;section(dehdr, 'CV').&lt;&gt;subsection(dehdr, 'Image Processing').&lt;&gt;description(dehdr, 'converts HDR image to RGB').&lt;&gt;visual_style(dehdr,  normal).&lt;&gt;inputs(dehdr, [required('A')]).&lt;&gt;outputs(dehdr, ['O']).&lt;&gt;input_types(dehdr, [hdr]).&lt;&gt;output_types(dehdr, [image]).&lt;&gt;</v>
      </c>
      <c r="AI54" t="str">
        <f t="shared" si="15"/>
        <v>[hdr</v>
      </c>
      <c r="AJ54" t="str">
        <f t="shared" si="16"/>
        <v/>
      </c>
      <c r="AK54" t="str">
        <f t="shared" si="17"/>
        <v/>
      </c>
      <c r="AL54" s="11" t="str">
        <f t="shared" si="18"/>
        <v/>
      </c>
      <c r="AM54" t="str">
        <f t="shared" si="19"/>
        <v>[image</v>
      </c>
      <c r="AN54" t="str">
        <f t="shared" si="20"/>
        <v/>
      </c>
      <c r="AO54" s="11" t="str">
        <f t="shared" si="21"/>
        <v/>
      </c>
      <c r="AP54" t="str">
        <f t="shared" si="22"/>
        <v>[hdr]</v>
      </c>
      <c r="AQ54" t="str">
        <f t="shared" si="23"/>
        <v>[image]</v>
      </c>
      <c r="BE54" t="str">
        <f t="shared" si="24"/>
        <v>&lt;&gt;%  ===== dehdr ===========&lt;&gt;section(dehdr, 'CV').&lt;&gt;subsection(dehdr, 'Image Processing').&lt;&gt;description(dehdr, 'converts HDR image to RGB').&lt;&gt;visual_style(dehdr,  normal).&lt;&gt;inputs(dehdr, [required('A')]).&lt;&gt;outputs(dehdr, ['O']).&lt;&gt;input_types(dehdr, [hdr]).&lt;&gt;output_types(dehdr, [image]).&lt;&gt;</v>
      </c>
    </row>
    <row r="55" spans="1:57" ht="14.25" customHeight="1" x14ac:dyDescent="0.2">
      <c r="C55" s="1" t="str">
        <f t="shared" si="26"/>
        <v>CV</v>
      </c>
      <c r="D55" s="1" t="str">
        <f t="shared" si="27"/>
        <v>Image Processing</v>
      </c>
      <c r="E55" s="2" t="s">
        <v>104</v>
      </c>
      <c r="F55" s="2" t="s">
        <v>105</v>
      </c>
      <c r="G55" s="2" t="s">
        <v>106</v>
      </c>
      <c r="H55" s="2" t="s">
        <v>9</v>
      </c>
      <c r="I55" s="3" t="s">
        <v>107</v>
      </c>
      <c r="J55" s="10" t="s">
        <v>98</v>
      </c>
      <c r="K55" s="10" t="s">
        <v>98</v>
      </c>
      <c r="L55" s="10" t="s">
        <v>98</v>
      </c>
      <c r="M55" s="10" t="s">
        <v>98</v>
      </c>
      <c r="N55" s="4" t="s">
        <v>10</v>
      </c>
      <c r="Q55" s="2" t="s">
        <v>136</v>
      </c>
      <c r="T55" s="2" t="s">
        <v>108</v>
      </c>
      <c r="V55" s="9" t="str">
        <f t="shared" si="3"/>
        <v>[required('R')</v>
      </c>
      <c r="W55" s="9" t="str">
        <f t="shared" si="4"/>
        <v>, required('G')</v>
      </c>
      <c r="X55" s="9" t="str">
        <f t="shared" si="5"/>
        <v>, required('B')</v>
      </c>
      <c r="Y55" s="9" t="str">
        <f t="shared" si="6"/>
        <v>, optional('A')</v>
      </c>
      <c r="Z55" t="str">
        <f t="shared" si="7"/>
        <v>[required('R'), required('G'), required('B')]</v>
      </c>
      <c r="AA55" s="1" t="str">
        <f t="shared" si="8"/>
        <v>['O'</v>
      </c>
      <c r="AB55" t="str">
        <f t="shared" si="9"/>
        <v/>
      </c>
      <c r="AC55" t="str">
        <f t="shared" si="10"/>
        <v/>
      </c>
      <c r="AD55" t="str">
        <f t="shared" si="11"/>
        <v>['O']</v>
      </c>
      <c r="AE55" t="str">
        <f t="shared" si="12"/>
        <v>section(channels, 'CV').&lt;&gt;subsection(channels, 'Image Processing').&lt;&gt;description(channels, 'takes 3 grayscale images and an optional mask or grayscale image and produces an RGB/RGBA image').&lt;&gt;visual_style(channels,  normal</v>
      </c>
      <c r="AF55" t="str">
        <f t="shared" si="13"/>
        <v>visual_style22</v>
      </c>
      <c r="AG55">
        <f t="shared" si="25"/>
        <v>22</v>
      </c>
      <c r="AH55" t="str">
        <f t="shared" si="14"/>
        <v>&lt;&gt;%  ===== channels ===========&lt;&gt;section(channels, 'CV').&lt;&gt;subsection(channels, 'Image Processing').&lt;&gt;description(channels, 'takes 3 grayscale images and an optional mask or grayscale image and produces an RGB/RGBA image').&lt;&gt;visual_style(channels,  normal).&lt;&gt;inputs(channels, [required('R'), required('G'), required('B')]).&lt;&gt;outputs(channels, ['O']).&lt;&gt;input_types(channels, [gray, gray, gray, gray]).&lt;&gt;output_types(channels, [image]).&lt;&gt;</v>
      </c>
      <c r="AI55" t="str">
        <f t="shared" si="15"/>
        <v>[gray</v>
      </c>
      <c r="AJ55" t="str">
        <f t="shared" si="16"/>
        <v>, gray</v>
      </c>
      <c r="AK55" t="str">
        <f t="shared" si="17"/>
        <v>, gray</v>
      </c>
      <c r="AL55" s="11" t="str">
        <f t="shared" si="18"/>
        <v>, gray</v>
      </c>
      <c r="AM55" t="str">
        <f t="shared" si="19"/>
        <v>[image</v>
      </c>
      <c r="AN55" t="str">
        <f t="shared" si="20"/>
        <v/>
      </c>
      <c r="AO55" s="11" t="str">
        <f t="shared" si="21"/>
        <v/>
      </c>
      <c r="AP55" t="str">
        <f t="shared" si="22"/>
        <v>[gray, gray, gray, gray]</v>
      </c>
      <c r="AQ55" t="str">
        <f t="shared" si="23"/>
        <v>[image]</v>
      </c>
      <c r="BE55" t="str">
        <f t="shared" si="24"/>
        <v>&lt;&gt;%  ===== channels ===========&lt;&gt;section(channels, 'CV').&lt;&gt;subsection(channels, 'Image Processing').&lt;&gt;description(channels, 'takes 3 grayscale images and an optional mask or grayscale image and produces an RGB/RGBA image').&lt;&gt;visual_style(channels,  normal).&lt;&gt;inputs(channels, [required('R'), required('G'), required('B')]).&lt;&gt;outputs(channels, ['O']).&lt;&gt;input_types(channels, [gray, gray, gray, gray]).&lt;&gt;output_types(channels, [image]).&lt;&gt;</v>
      </c>
    </row>
    <row r="56" spans="1:57" ht="14.25" customHeight="1" x14ac:dyDescent="0.2">
      <c r="C56" s="1" t="str">
        <f t="shared" si="26"/>
        <v>CV</v>
      </c>
      <c r="D56" s="1" t="str">
        <f t="shared" si="27"/>
        <v>Image Processing</v>
      </c>
      <c r="E56" s="2" t="s">
        <v>109</v>
      </c>
      <c r="F56" s="2" t="s">
        <v>8</v>
      </c>
      <c r="I56" s="3"/>
      <c r="J56" s="10" t="s">
        <v>139</v>
      </c>
      <c r="K56" s="10"/>
      <c r="L56" s="10"/>
      <c r="M56" s="10"/>
      <c r="N56" s="4" t="s">
        <v>105</v>
      </c>
      <c r="O56" s="2" t="s">
        <v>106</v>
      </c>
      <c r="P56" s="3" t="s">
        <v>9</v>
      </c>
      <c r="Q56" s="2" t="s">
        <v>98</v>
      </c>
      <c r="R56" s="2" t="s">
        <v>98</v>
      </c>
      <c r="S56" s="2" t="s">
        <v>98</v>
      </c>
      <c r="T56" s="2" t="s">
        <v>110</v>
      </c>
      <c r="V56" s="9" t="str">
        <f t="shared" si="3"/>
        <v>[required('A')</v>
      </c>
      <c r="W56" s="9" t="str">
        <f t="shared" si="4"/>
        <v/>
      </c>
      <c r="X56" s="9" t="str">
        <f t="shared" si="5"/>
        <v/>
      </c>
      <c r="Y56" s="9" t="str">
        <f t="shared" si="6"/>
        <v/>
      </c>
      <c r="Z56" t="str">
        <f t="shared" si="7"/>
        <v>[required('A')]</v>
      </c>
      <c r="AA56" s="1" t="str">
        <f t="shared" si="8"/>
        <v>['R'</v>
      </c>
      <c r="AB56" t="str">
        <f t="shared" si="9"/>
        <v>, 'G'</v>
      </c>
      <c r="AC56" t="str">
        <f t="shared" si="10"/>
        <v>, 'B'</v>
      </c>
      <c r="AD56" t="str">
        <f t="shared" si="11"/>
        <v>['R', 'G', 'B']</v>
      </c>
      <c r="AE56" t="str">
        <f t="shared" si="12"/>
        <v>section(aschannels, 'CV').&lt;&gt;subsection(aschannels, 'Image Processing').&lt;&gt;description(aschannels, 'takes an RGB image and produces 3 grayscale images, one for each channel').&lt;&gt;visual_style(aschannels,  normal</v>
      </c>
      <c r="AF56" t="str">
        <f t="shared" si="13"/>
        <v>visual_style22</v>
      </c>
      <c r="AG56">
        <f t="shared" si="25"/>
        <v>22</v>
      </c>
      <c r="AH56" t="str">
        <f t="shared" si="14"/>
        <v>&lt;&gt;%  ===== aschannels ===========&lt;&gt;section(aschannels, 'CV').&lt;&gt;subsection(aschannels, 'Image Processing').&lt;&gt;description(aschannels, 'takes an RGB image and produces 3 grayscale images, one for each channel').&lt;&gt;visual_style(aschannels,  normal).&lt;&gt;inputs(aschannels, [required('A')]).&lt;&gt;outputs(aschannels, ['R', 'G', 'B']).&lt;&gt;input_types(aschannels, [rgb]).&lt;&gt;output_types(aschannels, [gray, gray, gray]).&lt;&gt;</v>
      </c>
      <c r="AI56" t="str">
        <f t="shared" si="15"/>
        <v>[rgb</v>
      </c>
      <c r="AJ56" t="str">
        <f t="shared" si="16"/>
        <v/>
      </c>
      <c r="AK56" t="str">
        <f t="shared" si="17"/>
        <v/>
      </c>
      <c r="AL56" s="11" t="str">
        <f t="shared" si="18"/>
        <v/>
      </c>
      <c r="AM56" t="str">
        <f t="shared" si="19"/>
        <v>[gray</v>
      </c>
      <c r="AN56" t="str">
        <f t="shared" si="20"/>
        <v>, gray</v>
      </c>
      <c r="AO56" s="11" t="str">
        <f t="shared" si="21"/>
        <v>, gray</v>
      </c>
      <c r="AP56" t="str">
        <f t="shared" si="22"/>
        <v>[rgb]</v>
      </c>
      <c r="AQ56" t="str">
        <f t="shared" si="23"/>
        <v>[gray, gray, gray]</v>
      </c>
      <c r="BE56" t="str">
        <f t="shared" si="24"/>
        <v>&lt;&gt;%  ===== aschannels ===========&lt;&gt;section(aschannels, 'CV').&lt;&gt;subsection(aschannels, 'Image Processing').&lt;&gt;description(aschannels, 'takes an RGB image and produces 3 grayscale images, one for each channel').&lt;&gt;visual_style(aschannels,  normal).&lt;&gt;inputs(aschannels, [required('A')]).&lt;&gt;outputs(aschannels, ['R', 'G', 'B']).&lt;&gt;input_types(aschannels, [rgb]).&lt;&gt;output_types(aschannels, [gray, gray, gray]).&lt;&gt;</v>
      </c>
    </row>
    <row r="57" spans="1:57" ht="14.25" customHeight="1" x14ac:dyDescent="0.2">
      <c r="C57" s="1" t="str">
        <f t="shared" si="26"/>
        <v>CV</v>
      </c>
      <c r="D57" s="1" t="str">
        <f t="shared" si="27"/>
        <v>Image Processing</v>
      </c>
      <c r="E57" s="2" t="s">
        <v>111</v>
      </c>
      <c r="F57" s="2" t="s">
        <v>8</v>
      </c>
      <c r="G57" s="2" t="s">
        <v>112</v>
      </c>
      <c r="I57" s="3"/>
      <c r="J57" s="10" t="s">
        <v>136</v>
      </c>
      <c r="K57" s="10" t="s">
        <v>137</v>
      </c>
      <c r="L57" s="10"/>
      <c r="M57" s="10"/>
      <c r="N57" s="4" t="s">
        <v>10</v>
      </c>
      <c r="Q57" s="2" t="s">
        <v>136</v>
      </c>
      <c r="T57" s="2" t="s">
        <v>113</v>
      </c>
      <c r="U57" s="2" t="s">
        <v>114</v>
      </c>
      <c r="V57" s="9" t="str">
        <f t="shared" si="3"/>
        <v>[required('A')</v>
      </c>
      <c r="W57" s="9" t="str">
        <f t="shared" si="4"/>
        <v>, optional('M')</v>
      </c>
      <c r="X57" s="9" t="str">
        <f t="shared" si="5"/>
        <v/>
      </c>
      <c r="Y57" s="9" t="str">
        <f t="shared" si="6"/>
        <v/>
      </c>
      <c r="Z57" t="str">
        <f t="shared" si="7"/>
        <v>[required('A'), optional('M')]</v>
      </c>
      <c r="AA57" s="1" t="str">
        <f t="shared" si="8"/>
        <v>['O'</v>
      </c>
      <c r="AB57" t="str">
        <f t="shared" si="9"/>
        <v/>
      </c>
      <c r="AC57" t="str">
        <f t="shared" si="10"/>
        <v/>
      </c>
      <c r="AD57" t="str">
        <f t="shared" si="11"/>
        <v>['O']</v>
      </c>
      <c r="AE57" t="str">
        <f t="shared" si="12"/>
        <v>section(pixel, 'CV').&lt;&gt;subsection(pixel, 'Image Processing').&lt;&gt;description(pixel, 'as func, but has three formula boxes. Each one knows about r,g,b,m variables. Runs this formula for each pixel in image.').&lt;&gt;visual_style(pixel,  visual_style22</v>
      </c>
      <c r="AF57" t="str">
        <f t="shared" si="13"/>
        <v>visual_style22</v>
      </c>
      <c r="AG57">
        <f t="shared" si="25"/>
        <v>22</v>
      </c>
      <c r="AH57" t="str">
        <f t="shared" si="14"/>
        <v>&lt;&gt;%  ===== pixel ===========&lt;&gt;section(pixel, 'CV').&lt;&gt;subsection(pixel, 'Image Processing').&lt;&gt;description(pixel, 'as func, but has three formula boxes. Each one knows about r,g,b,m variables. Runs this formula for each pixel in image.').&lt;&gt;visual_style(pixel,  visual_style22).&lt;&gt;inputs(pixel, [required('A'), optional('M')]).&lt;&gt;outputs(pixel, ['O']).&lt;&gt;input_types(pixel, [image, mask]).&lt;&gt;output_types(pixel, [image]).&lt;&gt;</v>
      </c>
      <c r="AI57" t="str">
        <f t="shared" si="15"/>
        <v>[image</v>
      </c>
      <c r="AJ57" t="str">
        <f t="shared" si="16"/>
        <v>, mask</v>
      </c>
      <c r="AK57" t="str">
        <f t="shared" si="17"/>
        <v/>
      </c>
      <c r="AL57" s="11" t="str">
        <f t="shared" si="18"/>
        <v/>
      </c>
      <c r="AM57" t="str">
        <f t="shared" si="19"/>
        <v>[image</v>
      </c>
      <c r="AN57" t="str">
        <f t="shared" si="20"/>
        <v/>
      </c>
      <c r="AO57" s="11" t="str">
        <f t="shared" si="21"/>
        <v/>
      </c>
      <c r="AP57" t="str">
        <f t="shared" si="22"/>
        <v>[image, mask]</v>
      </c>
      <c r="AQ57" t="str">
        <f t="shared" si="23"/>
        <v>[image]</v>
      </c>
      <c r="BE57" t="str">
        <f t="shared" si="24"/>
        <v>&lt;&gt;%  ===== pixel ===========&lt;&gt;section(pixel, 'CV').&lt;&gt;subsection(pixel, 'Image Processing').&lt;&gt;description(pixel, 'as func, but has three formula boxes. Each one knows about r,g,b,m variables. Runs this formula for each pixel in image.').&lt;&gt;visual_style(pixel,  visual_style22).&lt;&gt;inputs(pixel, [required('A'), optional('M')]).&lt;&gt;outputs(pixel, ['O']).&lt;&gt;input_types(pixel, [image, mask]).&lt;&gt;output_types(pixel, [image]).&lt;&gt;</v>
      </c>
    </row>
    <row r="58" spans="1:57" ht="14.25" customHeight="1" x14ac:dyDescent="0.2">
      <c r="C58" s="1" t="str">
        <f t="shared" si="26"/>
        <v>CV</v>
      </c>
      <c r="D58" s="1" t="str">
        <f t="shared" si="27"/>
        <v>Image Processing</v>
      </c>
      <c r="E58" s="2" t="s">
        <v>115</v>
      </c>
      <c r="F58" s="2" t="s">
        <v>8</v>
      </c>
      <c r="G58" s="2" t="s">
        <v>116</v>
      </c>
      <c r="H58" s="2" t="s">
        <v>117</v>
      </c>
      <c r="I58" s="3"/>
      <c r="J58" s="10" t="s">
        <v>136</v>
      </c>
      <c r="K58" s="10" t="s">
        <v>37</v>
      </c>
      <c r="L58" s="10" t="s">
        <v>128</v>
      </c>
      <c r="M58" s="10"/>
      <c r="N58" s="4" t="s">
        <v>10</v>
      </c>
      <c r="Q58" s="2" t="s">
        <v>136</v>
      </c>
      <c r="T58" s="2" t="s">
        <v>118</v>
      </c>
      <c r="V58" s="9" t="str">
        <f t="shared" si="3"/>
        <v>[required('A')</v>
      </c>
      <c r="W58" s="9" t="str">
        <f t="shared" si="4"/>
        <v>, required('Prop')</v>
      </c>
      <c r="X58" s="9" t="str">
        <f t="shared" si="5"/>
        <v>, required('Block')</v>
      </c>
      <c r="Y58" s="9" t="str">
        <f t="shared" si="6"/>
        <v/>
      </c>
      <c r="Z58" t="str">
        <f t="shared" si="7"/>
        <v>[required('A'), required('Prop'), required('Block')]</v>
      </c>
      <c r="AA58" s="1" t="str">
        <f t="shared" si="8"/>
        <v>['O'</v>
      </c>
      <c r="AB58" t="str">
        <f t="shared" si="9"/>
        <v/>
      </c>
      <c r="AC58" t="str">
        <f t="shared" si="10"/>
        <v/>
      </c>
      <c r="AD58" t="str">
        <f t="shared" si="11"/>
        <v>['O']</v>
      </c>
      <c r="AE58" t="str">
        <f t="shared" si="12"/>
        <v>section(adaptivehistoequal, 'CV').&lt;&gt;subsection(adaptivehistoequal, 'Image Processing').&lt;&gt;description(adaptivehistoequal, 'apply adaptive histogram equalization with blocksize Block and proportion Prop').&lt;&gt;visual_style(adaptivehistoequal,  normal</v>
      </c>
      <c r="AF58" t="str">
        <f t="shared" si="13"/>
        <v>visual_style23</v>
      </c>
      <c r="AG58">
        <f t="shared" si="25"/>
        <v>23</v>
      </c>
      <c r="AH58" t="str">
        <f t="shared" si="14"/>
        <v>&lt;&gt;%  ===== adaptivehistoequal ===========&lt;&gt;section(adaptivehistoequal, 'CV').&lt;&gt;subsection(adaptivehistoequal, 'Image Processing').&lt;&gt;description(adaptivehistoequal, 'apply adaptive histogram equalization with blocksize Block and proportion Prop').&lt;&gt;visual_style(adaptivehistoequal,  normal).&lt;&gt;inputs(adaptivehistoequal, [required('A'), required('Prop'), required('Block')]).&lt;&gt;outputs(adaptivehistoequal, ['O']).&lt;&gt;input_types(adaptivehistoequal, [image, proportion, int]).&lt;&gt;output_types(adaptivehistoequal, [image]).&lt;&gt;</v>
      </c>
      <c r="AI58" t="str">
        <f t="shared" si="15"/>
        <v>[image</v>
      </c>
      <c r="AJ58" t="str">
        <f t="shared" si="16"/>
        <v>, proportion</v>
      </c>
      <c r="AK58" t="str">
        <f t="shared" si="17"/>
        <v>, int</v>
      </c>
      <c r="AL58" s="11" t="str">
        <f t="shared" si="18"/>
        <v/>
      </c>
      <c r="AM58" t="str">
        <f t="shared" si="19"/>
        <v>[image</v>
      </c>
      <c r="AN58" t="str">
        <f t="shared" si="20"/>
        <v/>
      </c>
      <c r="AO58" s="11" t="str">
        <f t="shared" si="21"/>
        <v/>
      </c>
      <c r="AP58" t="str">
        <f t="shared" si="22"/>
        <v>[image, proportion, int]</v>
      </c>
      <c r="AQ58" t="str">
        <f t="shared" si="23"/>
        <v>[image]</v>
      </c>
      <c r="BE58" t="str">
        <f t="shared" si="24"/>
        <v>&lt;&gt;%  ===== adaptivehistoequal ===========&lt;&gt;section(adaptivehistoequal, 'CV').&lt;&gt;subsection(adaptivehistoequal, 'Image Processing').&lt;&gt;description(adaptivehistoequal, 'apply adaptive histogram equalization with blocksize Block and proportion Prop').&lt;&gt;visual_style(adaptivehistoequal,  normal).&lt;&gt;inputs(adaptivehistoequal, [required('A'), required('Prop'), required('Block')]).&lt;&gt;outputs(adaptivehistoequal, ['O']).&lt;&gt;input_types(adaptivehistoequal, [image, proportion, int]).&lt;&gt;output_types(adaptivehistoequal, [image]).&lt;&gt;</v>
      </c>
    </row>
    <row r="59" spans="1:57" ht="14.25" customHeight="1" x14ac:dyDescent="0.2">
      <c r="C59" s="1" t="str">
        <f t="shared" si="26"/>
        <v>CV</v>
      </c>
      <c r="D59" s="1" t="str">
        <f t="shared" si="27"/>
        <v>Image Processing</v>
      </c>
      <c r="E59" s="2" t="s">
        <v>119</v>
      </c>
      <c r="F59" s="2" t="s">
        <v>8</v>
      </c>
      <c r="G59" s="2" t="s">
        <v>9</v>
      </c>
      <c r="H59" s="2" t="s">
        <v>85</v>
      </c>
      <c r="I59" s="3"/>
      <c r="J59" s="10" t="s">
        <v>136</v>
      </c>
      <c r="K59" s="10" t="s">
        <v>136</v>
      </c>
      <c r="L59" s="10" t="s">
        <v>98</v>
      </c>
      <c r="M59" s="10"/>
      <c r="N59" s="4" t="s">
        <v>10</v>
      </c>
      <c r="Q59" s="2" t="s">
        <v>136</v>
      </c>
      <c r="T59" s="2" t="s">
        <v>120</v>
      </c>
      <c r="V59" s="9" t="str">
        <f t="shared" si="3"/>
        <v>[required('A')</v>
      </c>
      <c r="W59" s="9" t="str">
        <f t="shared" si="4"/>
        <v>, required('B')</v>
      </c>
      <c r="X59" s="9" t="str">
        <f t="shared" si="5"/>
        <v>, required('Mask')</v>
      </c>
      <c r="Y59" s="9" t="str">
        <f t="shared" si="6"/>
        <v/>
      </c>
      <c r="Z59" t="str">
        <f t="shared" si="7"/>
        <v>[required('A'), required('B'), required('Mask')]</v>
      </c>
      <c r="AA59" s="1" t="str">
        <f t="shared" si="8"/>
        <v>['O'</v>
      </c>
      <c r="AB59" t="str">
        <f t="shared" si="9"/>
        <v/>
      </c>
      <c r="AC59" t="str">
        <f t="shared" si="10"/>
        <v/>
      </c>
      <c r="AD59" t="str">
        <f t="shared" si="11"/>
        <v>['O']</v>
      </c>
      <c r="AE59" t="str">
        <f t="shared" si="12"/>
        <v>section(composite, 'CV').&lt;&gt;subsection(composite, 'Image Processing').&lt;&gt;description(composite, 'Output is A where Mask is white and B where it is black, and proportional mix in between').&lt;&gt;visual_style(composite,  normal</v>
      </c>
      <c r="AF59" t="str">
        <f t="shared" si="13"/>
        <v>visual_style23</v>
      </c>
      <c r="AG59">
        <f t="shared" si="25"/>
        <v>23</v>
      </c>
      <c r="AH59" t="str">
        <f t="shared" si="14"/>
        <v>&lt;&gt;%  ===== composite ===========&lt;&gt;section(composite, 'CV').&lt;&gt;subsection(composite, 'Image Processing').&lt;&gt;description(composite, 'Output is A where Mask is white and B where it is black, and proportional mix in between').&lt;&gt;visual_style(composite,  normal).&lt;&gt;inputs(composite, [required('A'), required('B'), required('Mask')]).&lt;&gt;outputs(composite, ['O']).&lt;&gt;input_types(composite, [image, image, gray]).&lt;&gt;output_types(composite, [image]).&lt;&gt;</v>
      </c>
      <c r="AI59" t="str">
        <f t="shared" si="15"/>
        <v>[image</v>
      </c>
      <c r="AJ59" t="str">
        <f t="shared" si="16"/>
        <v>, image</v>
      </c>
      <c r="AK59" t="str">
        <f t="shared" si="17"/>
        <v>, gray</v>
      </c>
      <c r="AL59" s="11" t="str">
        <f t="shared" si="18"/>
        <v/>
      </c>
      <c r="AM59" t="str">
        <f t="shared" si="19"/>
        <v>[image</v>
      </c>
      <c r="AN59" t="str">
        <f t="shared" si="20"/>
        <v/>
      </c>
      <c r="AO59" s="11" t="str">
        <f t="shared" si="21"/>
        <v/>
      </c>
      <c r="AP59" t="str">
        <f t="shared" si="22"/>
        <v>[image, image, gray]</v>
      </c>
      <c r="AQ59" t="str">
        <f t="shared" si="23"/>
        <v>[image]</v>
      </c>
      <c r="BE59" t="str">
        <f t="shared" si="24"/>
        <v>&lt;&gt;%  ===== composite ===========&lt;&gt;section(composite, 'CV').&lt;&gt;subsection(composite, 'Image Processing').&lt;&gt;description(composite, 'Output is A where Mask is white and B where it is black, and proportional mix in between').&lt;&gt;visual_style(composite,  normal).&lt;&gt;inputs(composite, [required('A'), required('B'), required('Mask')]).&lt;&gt;outputs(composite, ['O']).&lt;&gt;input_types(composite, [image, image, gray]).&lt;&gt;output_types(composite, [image]).&lt;&gt;</v>
      </c>
    </row>
    <row r="60" spans="1:57" ht="14.25" customHeight="1" x14ac:dyDescent="0.2">
      <c r="C60" s="1" t="str">
        <f t="shared" si="26"/>
        <v>CV</v>
      </c>
      <c r="D60" s="1" t="str">
        <f t="shared" si="27"/>
        <v>Image Processing</v>
      </c>
      <c r="E60" s="2" t="s">
        <v>121</v>
      </c>
      <c r="F60" s="2" t="s">
        <v>8</v>
      </c>
      <c r="G60" s="2" t="s">
        <v>122</v>
      </c>
      <c r="I60" s="3"/>
      <c r="J60" s="10" t="s">
        <v>136</v>
      </c>
      <c r="K60" s="10" t="s">
        <v>74</v>
      </c>
      <c r="L60" s="10"/>
      <c r="M60" s="10"/>
      <c r="N60" s="4" t="s">
        <v>10</v>
      </c>
      <c r="Q60" s="2" t="s">
        <v>136</v>
      </c>
      <c r="V60" s="9" t="str">
        <f t="shared" si="3"/>
        <v>[required('A')</v>
      </c>
      <c r="W60" s="9" t="str">
        <f t="shared" si="4"/>
        <v>, required('Kernal')</v>
      </c>
      <c r="X60" s="9" t="str">
        <f t="shared" si="5"/>
        <v/>
      </c>
      <c r="Y60" s="9" t="str">
        <f t="shared" si="6"/>
        <v/>
      </c>
      <c r="Z60" t="str">
        <f t="shared" si="7"/>
        <v>[required('A'), required('Kernal')]</v>
      </c>
      <c r="AA60" s="1" t="str">
        <f t="shared" si="8"/>
        <v>['O'</v>
      </c>
      <c r="AB60" t="str">
        <f t="shared" si="9"/>
        <v/>
      </c>
      <c r="AC60" t="str">
        <f t="shared" si="10"/>
        <v/>
      </c>
      <c r="AD60" t="str">
        <f t="shared" si="11"/>
        <v>['O']</v>
      </c>
      <c r="AE60" t="str">
        <f t="shared" si="12"/>
        <v>section(convolve, 'CV').&lt;&gt;subsection(convolve, 'Image Processing').&lt;&gt;description(convolve, '').&lt;&gt;visual_style(convolve,  normal</v>
      </c>
      <c r="AF60" t="str">
        <f t="shared" si="13"/>
        <v>visual_style23</v>
      </c>
      <c r="AG60">
        <f t="shared" si="25"/>
        <v>23</v>
      </c>
      <c r="AH60" t="str">
        <f t="shared" si="14"/>
        <v>&lt;&gt;%  ===== convolve ===========&lt;&gt;section(convolve, 'CV').&lt;&gt;subsection(convolve, 'Image Processing').&lt;&gt;description(convolve, '').&lt;&gt;visual_style(convolve,  normal).&lt;&gt;inputs(convolve, [required('A'), required('Kernal')]).&lt;&gt;outputs(convolve, ['O']).&lt;&gt;input_types(convolve, [image, kernal]).&lt;&gt;output_types(convolve, [image]).&lt;&gt;</v>
      </c>
      <c r="AI60" t="str">
        <f t="shared" si="15"/>
        <v>[image</v>
      </c>
      <c r="AJ60" t="str">
        <f t="shared" si="16"/>
        <v>, kernal</v>
      </c>
      <c r="AK60" t="str">
        <f t="shared" si="17"/>
        <v/>
      </c>
      <c r="AL60" s="11" t="str">
        <f t="shared" si="18"/>
        <v/>
      </c>
      <c r="AM60" t="str">
        <f t="shared" si="19"/>
        <v>[image</v>
      </c>
      <c r="AN60" t="str">
        <f t="shared" si="20"/>
        <v/>
      </c>
      <c r="AO60" s="11" t="str">
        <f t="shared" si="21"/>
        <v/>
      </c>
      <c r="AP60" t="str">
        <f t="shared" si="22"/>
        <v>[image, kernal]</v>
      </c>
      <c r="AQ60" t="str">
        <f t="shared" si="23"/>
        <v>[image]</v>
      </c>
      <c r="BE60" t="str">
        <f t="shared" si="24"/>
        <v>&lt;&gt;%  ===== convolve ===========&lt;&gt;section(convolve, 'CV').&lt;&gt;subsection(convolve, 'Image Processing').&lt;&gt;description(convolve, '').&lt;&gt;visual_style(convolve,  normal).&lt;&gt;inputs(convolve, [required('A'), required('Kernal')]).&lt;&gt;outputs(convolve, ['O']).&lt;&gt;input_types(convolve, [image, kernal]).&lt;&gt;output_types(convolve, [image]).&lt;&gt;</v>
      </c>
    </row>
    <row r="61" spans="1:57" ht="14.25" customHeight="1" x14ac:dyDescent="0.2">
      <c r="B61" s="2" t="s">
        <v>123</v>
      </c>
      <c r="C61" s="1" t="str">
        <f t="shared" si="26"/>
        <v>CV</v>
      </c>
      <c r="D61" s="1" t="str">
        <f t="shared" si="27"/>
        <v>FrequencyDomain</v>
      </c>
      <c r="I61" s="3"/>
      <c r="J61" s="10"/>
      <c r="K61" s="10"/>
      <c r="L61" s="10"/>
      <c r="M61" s="10"/>
      <c r="N61" s="4"/>
      <c r="V61" s="9" t="str">
        <f t="shared" si="3"/>
        <v>[</v>
      </c>
      <c r="W61" s="9" t="str">
        <f t="shared" si="4"/>
        <v/>
      </c>
      <c r="X61" s="9" t="str">
        <f t="shared" si="5"/>
        <v/>
      </c>
      <c r="Y61" s="9" t="str">
        <f t="shared" si="6"/>
        <v/>
      </c>
      <c r="Z61" t="str">
        <f t="shared" si="7"/>
        <v>[]</v>
      </c>
      <c r="AA61" s="1" t="str">
        <f t="shared" si="8"/>
        <v>[</v>
      </c>
      <c r="AB61" t="str">
        <f t="shared" si="9"/>
        <v/>
      </c>
      <c r="AC61" t="str">
        <f t="shared" si="10"/>
        <v/>
      </c>
      <c r="AD61" t="str">
        <f t="shared" si="11"/>
        <v>[]</v>
      </c>
      <c r="AE61" t="str">
        <f t="shared" si="12"/>
        <v/>
      </c>
      <c r="AF61" t="str">
        <f t="shared" si="13"/>
        <v>visual_style23</v>
      </c>
      <c r="AG61">
        <f t="shared" si="25"/>
        <v>23</v>
      </c>
      <c r="AH61" t="str">
        <f t="shared" si="14"/>
        <v/>
      </c>
      <c r="AI61" t="str">
        <f t="shared" si="15"/>
        <v>[</v>
      </c>
      <c r="AJ61" t="str">
        <f t="shared" si="16"/>
        <v/>
      </c>
      <c r="AK61" t="str">
        <f t="shared" si="17"/>
        <v/>
      </c>
      <c r="AL61" s="11" t="str">
        <f t="shared" si="18"/>
        <v/>
      </c>
      <c r="AM61" t="str">
        <f t="shared" si="19"/>
        <v>[</v>
      </c>
      <c r="AN61" t="str">
        <f t="shared" si="20"/>
        <v/>
      </c>
      <c r="AO61" s="11" t="str">
        <f t="shared" si="21"/>
        <v/>
      </c>
      <c r="AP61" t="str">
        <f t="shared" si="22"/>
        <v>[]</v>
      </c>
      <c r="AQ61" t="str">
        <f t="shared" si="23"/>
        <v>[]</v>
      </c>
      <c r="BE61" t="str">
        <f t="shared" si="24"/>
        <v/>
      </c>
    </row>
    <row r="62" spans="1:57" ht="14.25" customHeight="1" x14ac:dyDescent="0.2">
      <c r="C62" s="1" t="str">
        <f t="shared" si="26"/>
        <v>CV</v>
      </c>
      <c r="D62" s="1" t="str">
        <f t="shared" si="27"/>
        <v>FrequencyDomain</v>
      </c>
      <c r="E62" s="2" t="s">
        <v>124</v>
      </c>
      <c r="F62" s="2" t="s">
        <v>8</v>
      </c>
      <c r="I62" s="3"/>
      <c r="J62" s="10" t="s">
        <v>136</v>
      </c>
      <c r="K62" s="10"/>
      <c r="L62" s="10"/>
      <c r="M62" s="10"/>
      <c r="N62" s="4" t="s">
        <v>10</v>
      </c>
      <c r="Q62" s="2" t="s">
        <v>140</v>
      </c>
      <c r="T62" s="2" t="s">
        <v>125</v>
      </c>
      <c r="V62" s="9" t="str">
        <f t="shared" si="3"/>
        <v>[required('A')</v>
      </c>
      <c r="W62" s="9" t="str">
        <f t="shared" si="4"/>
        <v/>
      </c>
      <c r="X62" s="9" t="str">
        <f t="shared" si="5"/>
        <v/>
      </c>
      <c r="Y62" s="9" t="str">
        <f t="shared" si="6"/>
        <v/>
      </c>
      <c r="Z62" t="str">
        <f t="shared" si="7"/>
        <v>[required('A')]</v>
      </c>
      <c r="AA62" s="1" t="str">
        <f t="shared" si="8"/>
        <v>['O'</v>
      </c>
      <c r="AB62" t="str">
        <f t="shared" si="9"/>
        <v/>
      </c>
      <c r="AC62" t="str">
        <f t="shared" si="10"/>
        <v/>
      </c>
      <c r="AD62" t="str">
        <f t="shared" si="11"/>
        <v>['O']</v>
      </c>
      <c r="AE62" t="str">
        <f t="shared" si="12"/>
        <v>section(fft, 'CV').&lt;&gt;subsection(fft, 'FrequencyDomain').&lt;&gt;description(fft, 'Output is the forward fourier transform as complex16').&lt;&gt;visual_style(fft,  normal</v>
      </c>
      <c r="AF62" t="str">
        <f t="shared" si="13"/>
        <v>visual_style23</v>
      </c>
      <c r="AG62">
        <f t="shared" si="25"/>
        <v>23</v>
      </c>
      <c r="AH62" t="str">
        <f t="shared" si="14"/>
        <v>&lt;&gt;%  ===== fft ===========&lt;&gt;section(fft, 'CV').&lt;&gt;subsection(fft, 'FrequencyDomain').&lt;&gt;description(fft, 'Output is the forward fourier transform as complex16').&lt;&gt;visual_style(fft,  normal).&lt;&gt;inputs(fft, [required('A')]).&lt;&gt;outputs(fft, ['O']).&lt;&gt;input_types(fft, [image]).&lt;&gt;output_types(fft, [complex16]).&lt;&gt;</v>
      </c>
      <c r="AI62" t="str">
        <f t="shared" si="15"/>
        <v>[image</v>
      </c>
      <c r="AJ62" t="str">
        <f t="shared" si="16"/>
        <v/>
      </c>
      <c r="AK62" t="str">
        <f t="shared" si="17"/>
        <v/>
      </c>
      <c r="AL62" s="11" t="str">
        <f t="shared" si="18"/>
        <v/>
      </c>
      <c r="AM62" t="str">
        <f t="shared" si="19"/>
        <v>[complex16</v>
      </c>
      <c r="AN62" t="str">
        <f t="shared" si="20"/>
        <v/>
      </c>
      <c r="AO62" s="11" t="str">
        <f t="shared" si="21"/>
        <v/>
      </c>
      <c r="AP62" t="str">
        <f t="shared" si="22"/>
        <v>[image]</v>
      </c>
      <c r="AQ62" t="str">
        <f t="shared" si="23"/>
        <v>[complex16]</v>
      </c>
      <c r="BE62" t="str">
        <f t="shared" si="24"/>
        <v>&lt;&gt;%  ===== fft ===========&lt;&gt;section(fft, 'CV').&lt;&gt;subsection(fft, 'FrequencyDomain').&lt;&gt;description(fft, 'Output is the forward fourier transform as complex16').&lt;&gt;visual_style(fft,  normal).&lt;&gt;inputs(fft, [required('A')]).&lt;&gt;outputs(fft, ['O']).&lt;&gt;input_types(fft, [image]).&lt;&gt;output_types(fft, [complex16]).&lt;&gt;</v>
      </c>
    </row>
    <row r="63" spans="1:57" s="8" customFormat="1" ht="21.75" customHeight="1" x14ac:dyDescent="0.2">
      <c r="A63" s="5"/>
      <c r="B63" s="5"/>
      <c r="C63" s="1" t="str">
        <f t="shared" ref="C63:C89" si="54">IF(ISBLANK(A63),C62,A63)</f>
        <v>CV</v>
      </c>
      <c r="D63" s="1" t="str">
        <f t="shared" ref="D63:D89" si="55">IF(NOT(ISBLANK(B63)), B63, IF(ISBLANK(A63), D62,A63))</f>
        <v>FrequencyDomain</v>
      </c>
      <c r="E63" s="5" t="s">
        <v>152</v>
      </c>
      <c r="F63" s="5" t="s">
        <v>8</v>
      </c>
      <c r="G63" s="5"/>
      <c r="H63" s="5"/>
      <c r="I63" s="6"/>
      <c r="J63" s="5" t="s">
        <v>140</v>
      </c>
      <c r="K63" s="5"/>
      <c r="L63" s="5"/>
      <c r="M63" s="5"/>
      <c r="N63" s="7" t="s">
        <v>10</v>
      </c>
      <c r="O63" s="5"/>
      <c r="P63" s="6"/>
      <c r="Q63" s="5" t="s">
        <v>98</v>
      </c>
      <c r="R63" s="5"/>
      <c r="S63" s="5"/>
      <c r="T63" s="5" t="s">
        <v>153</v>
      </c>
      <c r="U63" s="5"/>
      <c r="V63" s="9" t="str">
        <f t="shared" si="3"/>
        <v>[required('A')</v>
      </c>
      <c r="W63" s="9"/>
      <c r="X63" s="9"/>
      <c r="Y63" s="9"/>
      <c r="Z63" t="str">
        <f t="shared" si="7"/>
        <v>[required('A')]</v>
      </c>
      <c r="AA63" s="8" t="str">
        <f t="shared" si="8"/>
        <v>['O'</v>
      </c>
      <c r="AB63" t="str">
        <f t="shared" ref="AB63:AB109" si="56">IF(ISBLANK(O63),"",", '"&amp;O63&amp;"'")</f>
        <v/>
      </c>
      <c r="AC63" t="str">
        <f t="shared" ref="AC63:AC109" si="57">IF(ISBLANK(P63),"",", '"&amp;P63&amp;"'")</f>
        <v/>
      </c>
      <c r="AD63" t="str">
        <f t="shared" ref="AD63:AD109" si="58">AA63&amp;AB63&amp;AC63&amp;"]"</f>
        <v>['O']</v>
      </c>
      <c r="AE63" t="str">
        <f t="shared" ref="AE63:AE109" si="59">IF(ISBLANK(E63),"","section("&amp;E63&amp;", '"&amp;C63&amp;"').&lt;&gt;subsection("&amp;E63&amp;", '"&amp;D63&amp;"').&lt;&gt;description("&amp;E63&amp;", '"&amp;T63&amp;"').&lt;&gt;visual_style("&amp;E63&amp;",  "&amp;IF(ISBLANK(U63),"normal",AF63))</f>
        <v>section(inv_fft, 'CV').&lt;&gt;subsection(inv_fft, 'FrequencyDomain').&lt;&gt;description(inv_fft, 'Input is the ft spectrum as complex16, Output is the inverse fourier transform as gray').&lt;&gt;visual_style(inv_fft,  normal</v>
      </c>
      <c r="AF63" t="str">
        <f t="shared" si="13"/>
        <v>visual_style23</v>
      </c>
      <c r="AG63">
        <f t="shared" ref="AG63:AG109" si="60">IF(ISBLANK(U62),AG62,AG62+1)</f>
        <v>23</v>
      </c>
      <c r="AH63" t="str">
        <f t="shared" si="14"/>
        <v>&lt;&gt;%  ===== inv_fft ===========&lt;&gt;section(inv_fft, 'CV').&lt;&gt;subsection(inv_fft, 'FrequencyDomain').&lt;&gt;description(inv_fft, 'Input is the ft spectrum as complex16, Output is the inverse fourier transform as gray').&lt;&gt;visual_style(inv_fft,  normal).&lt;&gt;inputs(inv_fft, [required('A')]).&lt;&gt;outputs(inv_fft, ['O']).&lt;&gt;input_types(inv_fft, [complex16]).&lt;&gt;output_types(inv_fft, [gray]).&lt;&gt;</v>
      </c>
      <c r="AI63" t="str">
        <f t="shared" si="15"/>
        <v>[complex16</v>
      </c>
      <c r="AJ63" t="str">
        <f t="shared" si="16"/>
        <v/>
      </c>
      <c r="AK63" t="str">
        <f t="shared" si="17"/>
        <v/>
      </c>
      <c r="AL63" s="11" t="str">
        <f t="shared" si="18"/>
        <v/>
      </c>
      <c r="AM63" t="str">
        <f t="shared" si="19"/>
        <v>[gray</v>
      </c>
      <c r="AN63" t="str">
        <f t="shared" si="20"/>
        <v/>
      </c>
      <c r="AO63" s="11" t="str">
        <f t="shared" si="21"/>
        <v/>
      </c>
      <c r="AP63" t="str">
        <f t="shared" si="22"/>
        <v>[complex16]</v>
      </c>
      <c r="AQ63" t="str">
        <f t="shared" si="23"/>
        <v>[gray]</v>
      </c>
      <c r="BE63" t="str">
        <f t="shared" si="24"/>
        <v>&lt;&gt;%  ===== inv_fft ===========&lt;&gt;section(inv_fft, 'CV').&lt;&gt;subsection(inv_fft, 'FrequencyDomain').&lt;&gt;description(inv_fft, 'Input is the ft spectrum as complex16, Output is the inverse fourier transform as gray').&lt;&gt;visual_style(inv_fft,  normal).&lt;&gt;inputs(inv_fft, [required('A')]).&lt;&gt;outputs(inv_fft, ['O']).&lt;&gt;input_types(inv_fft, [complex16]).&lt;&gt;output_types(inv_fft, [gray]).&lt;&gt;</v>
      </c>
    </row>
    <row r="64" spans="1:57" ht="21.75" customHeight="1" x14ac:dyDescent="0.2">
      <c r="B64" s="2" t="s">
        <v>296</v>
      </c>
      <c r="C64" s="1" t="str">
        <f t="shared" si="54"/>
        <v>CV</v>
      </c>
      <c r="D64" s="1" t="str">
        <f t="shared" si="55"/>
        <v>combining</v>
      </c>
      <c r="I64" s="3"/>
      <c r="J64" s="10"/>
      <c r="K64" s="10"/>
      <c r="L64" s="10"/>
      <c r="M64" s="10"/>
      <c r="N64" s="4"/>
      <c r="V64" s="9" t="str">
        <f t="shared" ref="V64:V109" si="61">"["&amp;IF(RIGHT(F64,5)="(opt)","optional('"&amp;LEFT(F64,LEN(F64)-5)&amp;"')",IF(ISBLANK(F64),"","required('"&amp;F64&amp;"')"))</f>
        <v>[</v>
      </c>
      <c r="Z64" t="str">
        <f t="shared" si="7"/>
        <v>[]</v>
      </c>
      <c r="AA64" s="8" t="str">
        <f t="shared" ref="AA64:AA109" si="62">"["&amp;IF(ISBLANK(N64),"", "'"&amp;N64&amp;"'")</f>
        <v>[</v>
      </c>
      <c r="AB64" t="str">
        <f t="shared" si="56"/>
        <v/>
      </c>
      <c r="AC64" t="str">
        <f t="shared" si="57"/>
        <v/>
      </c>
      <c r="AD64" t="str">
        <f t="shared" si="58"/>
        <v>[]</v>
      </c>
      <c r="AE64" t="str">
        <f t="shared" si="59"/>
        <v/>
      </c>
      <c r="AF64" t="str">
        <f t="shared" si="13"/>
        <v>visual_style23</v>
      </c>
      <c r="AG64">
        <f t="shared" si="60"/>
        <v>23</v>
      </c>
      <c r="AH64" t="str">
        <f t="shared" si="14"/>
        <v/>
      </c>
      <c r="AI64" t="str">
        <f t="shared" ref="AI64:AI66" si="63">IF(ISBLANK(J64),"[","["&amp;J64)</f>
        <v>[</v>
      </c>
      <c r="AJ64" t="str">
        <f t="shared" ref="AJ64:AJ66" si="64">IF(ISBLANK(K64), "", ", "&amp;K64)</f>
        <v/>
      </c>
      <c r="AK64" t="str">
        <f t="shared" ref="AK64:AK66" si="65">IF(ISBLANK(L64), "", ", "&amp;L64)</f>
        <v/>
      </c>
      <c r="AL64" s="11" t="str">
        <f t="shared" ref="AL64:AL66" si="66">IF(ISBLANK(M64), "", ", "&amp;M64)</f>
        <v/>
      </c>
      <c r="AM64" t="str">
        <f t="shared" ref="AM64:AM67" si="67">IF(ISBLANK(Q64),"[","["&amp;Q64)</f>
        <v>[</v>
      </c>
      <c r="AN64" t="str">
        <f t="shared" ref="AN64:AN66" si="68">IF(ISBLANK(R64), "", ", "&amp;R64)</f>
        <v/>
      </c>
      <c r="AO64" s="11" t="str">
        <f t="shared" ref="AO64:AO66" si="69">IF(ISBLANK(S64), "", ", "&amp;S64)</f>
        <v/>
      </c>
      <c r="AP64" t="str">
        <f t="shared" ref="AP64:AP66" si="70">AI64&amp;AJ64&amp;AK64&amp;AL64&amp;"]"</f>
        <v>[]</v>
      </c>
      <c r="AQ64" t="str">
        <f t="shared" ref="AQ64:AQ66" si="71">AM64&amp;AN64&amp;AO64&amp;"]"</f>
        <v>[]</v>
      </c>
      <c r="AR64" s="8"/>
      <c r="AS64" s="8"/>
      <c r="BE64" t="str">
        <f t="shared" si="24"/>
        <v/>
      </c>
    </row>
    <row r="65" spans="3:57" ht="21.75" customHeight="1" x14ac:dyDescent="0.2">
      <c r="C65" s="1" t="str">
        <f t="shared" si="54"/>
        <v>CV</v>
      </c>
      <c r="D65" s="1" t="str">
        <f t="shared" si="55"/>
        <v>combining</v>
      </c>
      <c r="E65" s="2" t="s">
        <v>297</v>
      </c>
      <c r="F65" s="2" t="s">
        <v>8</v>
      </c>
      <c r="G65" s="2" t="s">
        <v>9</v>
      </c>
      <c r="I65" s="3"/>
      <c r="J65" s="10" t="s">
        <v>136</v>
      </c>
      <c r="K65" s="10" t="s">
        <v>136</v>
      </c>
      <c r="L65" s="10"/>
      <c r="M65" s="10"/>
      <c r="N65" s="4" t="s">
        <v>10</v>
      </c>
      <c r="Q65" s="2" t="s">
        <v>136</v>
      </c>
      <c r="T65" s="2" t="s">
        <v>298</v>
      </c>
      <c r="V65" s="9" t="str">
        <f t="shared" si="61"/>
        <v>[required('A')</v>
      </c>
      <c r="Z65" t="str">
        <f t="shared" si="7"/>
        <v>[required('A')]</v>
      </c>
      <c r="AA65" s="8" t="str">
        <f t="shared" si="62"/>
        <v>['O'</v>
      </c>
      <c r="AB65" t="str">
        <f t="shared" si="56"/>
        <v/>
      </c>
      <c r="AC65" t="str">
        <f t="shared" si="57"/>
        <v/>
      </c>
      <c r="AD65" t="str">
        <f t="shared" si="58"/>
        <v>['O']</v>
      </c>
      <c r="AE65" t="str">
        <f t="shared" si="59"/>
        <v>section(imgadd, 'CV').&lt;&gt;subsection(imgadd, 'combining').&lt;&gt;description(imgadd, 'Ox = (Ax+Bx), for each channel x in the image (r,g,b, or grey)').&lt;&gt;visual_style(imgadd,  normal</v>
      </c>
      <c r="AF65" t="str">
        <f t="shared" si="13"/>
        <v>visual_style23</v>
      </c>
      <c r="AG65">
        <f t="shared" si="60"/>
        <v>23</v>
      </c>
      <c r="AH65" t="str">
        <f t="shared" si="14"/>
        <v>&lt;&gt;%  ===== imgadd ===========&lt;&gt;section(imgadd, 'CV').&lt;&gt;subsection(imgadd, 'combining').&lt;&gt;description(imgadd, 'Ox = (Ax+Bx), for each channel x in the image (r,g,b, or grey)').&lt;&gt;visual_style(imgadd,  normal).&lt;&gt;inputs(imgadd, [required('A')]).&lt;&gt;outputs(imgadd, ['O']).&lt;&gt;input_types(imgadd, [image, image]).&lt;&gt;output_types(imgadd, [image]).&lt;&gt;</v>
      </c>
      <c r="AI65" t="str">
        <f t="shared" si="63"/>
        <v>[image</v>
      </c>
      <c r="AJ65" t="str">
        <f t="shared" si="64"/>
        <v>, image</v>
      </c>
      <c r="AK65" t="str">
        <f t="shared" si="65"/>
        <v/>
      </c>
      <c r="AL65" s="11" t="str">
        <f t="shared" si="66"/>
        <v/>
      </c>
      <c r="AM65" t="str">
        <f t="shared" si="67"/>
        <v>[image</v>
      </c>
      <c r="AN65" t="str">
        <f t="shared" si="68"/>
        <v/>
      </c>
      <c r="AO65" s="11" t="str">
        <f t="shared" si="69"/>
        <v/>
      </c>
      <c r="AP65" t="str">
        <f t="shared" si="70"/>
        <v>[image, image]</v>
      </c>
      <c r="AQ65" t="str">
        <f t="shared" si="71"/>
        <v>[image]</v>
      </c>
      <c r="AR65" s="8"/>
      <c r="AS65" s="8"/>
      <c r="BE65" t="str">
        <f t="shared" si="24"/>
        <v>&lt;&gt;%  ===== imgadd ===========&lt;&gt;section(imgadd, 'CV').&lt;&gt;subsection(imgadd, 'combining').&lt;&gt;description(imgadd, 'Ox = (Ax+Bx), for each channel x in the image (r,g,b, or grey)').&lt;&gt;visual_style(imgadd,  normal).&lt;&gt;inputs(imgadd, [required('A')]).&lt;&gt;outputs(imgadd, ['O']).&lt;&gt;input_types(imgadd, [image, image]).&lt;&gt;output_types(imgadd, [image]).&lt;&gt;</v>
      </c>
    </row>
    <row r="66" spans="3:57" ht="21.75" customHeight="1" x14ac:dyDescent="0.2">
      <c r="C66" s="1" t="str">
        <f t="shared" si="54"/>
        <v>CV</v>
      </c>
      <c r="D66" s="1" t="str">
        <f t="shared" si="55"/>
        <v>combining</v>
      </c>
      <c r="E66" s="2" t="s">
        <v>299</v>
      </c>
      <c r="F66" s="2" t="s">
        <v>8</v>
      </c>
      <c r="G66" s="2" t="s">
        <v>9</v>
      </c>
      <c r="I66" s="3"/>
      <c r="J66" s="10" t="s">
        <v>136</v>
      </c>
      <c r="K66" s="10" t="s">
        <v>136</v>
      </c>
      <c r="L66" s="10"/>
      <c r="M66" s="10"/>
      <c r="N66" s="4" t="s">
        <v>10</v>
      </c>
      <c r="Q66" s="2" t="s">
        <v>136</v>
      </c>
      <c r="T66" s="2" t="s">
        <v>300</v>
      </c>
      <c r="V66" s="9" t="str">
        <f t="shared" si="61"/>
        <v>[required('A')</v>
      </c>
      <c r="Z66" t="str">
        <f t="shared" si="7"/>
        <v>[required('A')]</v>
      </c>
      <c r="AA66" s="8" t="str">
        <f t="shared" si="62"/>
        <v>['O'</v>
      </c>
      <c r="AB66" t="str">
        <f t="shared" si="56"/>
        <v/>
      </c>
      <c r="AC66" t="str">
        <f t="shared" si="57"/>
        <v/>
      </c>
      <c r="AD66" t="str">
        <f t="shared" si="58"/>
        <v>['O']</v>
      </c>
      <c r="AE66" t="str">
        <f t="shared" si="59"/>
        <v>section(imgmax, 'CV').&lt;&gt;subsection(imgmax, 'combining').&lt;&gt;description(imgmax, 'takes the channel values from whichever image has R+G+B greatest').&lt;&gt;visual_style(imgmax,  normal</v>
      </c>
      <c r="AF66" t="str">
        <f t="shared" si="13"/>
        <v>visual_style23</v>
      </c>
      <c r="AG66">
        <f t="shared" si="60"/>
        <v>23</v>
      </c>
      <c r="AH66" t="str">
        <f t="shared" si="14"/>
        <v>&lt;&gt;%  ===== imgmax ===========&lt;&gt;section(imgmax, 'CV').&lt;&gt;subsection(imgmax, 'combining').&lt;&gt;description(imgmax, 'takes the channel values from whichever image has R+G+B greatest').&lt;&gt;visual_style(imgmax,  normal).&lt;&gt;inputs(imgmax, [required('A')]).&lt;&gt;outputs(imgmax, ['O']).&lt;&gt;input_types(imgmax, [image, image]).&lt;&gt;output_types(imgmax, [image]).&lt;&gt;</v>
      </c>
      <c r="AI66" t="str">
        <f t="shared" si="63"/>
        <v>[image</v>
      </c>
      <c r="AJ66" t="str">
        <f t="shared" si="64"/>
        <v>, image</v>
      </c>
      <c r="AK66" t="str">
        <f t="shared" si="65"/>
        <v/>
      </c>
      <c r="AL66" s="11" t="str">
        <f t="shared" si="66"/>
        <v/>
      </c>
      <c r="AM66" t="str">
        <f t="shared" si="67"/>
        <v>[image</v>
      </c>
      <c r="AN66" t="str">
        <f t="shared" si="68"/>
        <v/>
      </c>
      <c r="AO66" s="11" t="str">
        <f t="shared" si="69"/>
        <v/>
      </c>
      <c r="AP66" t="str">
        <f t="shared" si="70"/>
        <v>[image, image]</v>
      </c>
      <c r="AQ66" t="str">
        <f t="shared" si="71"/>
        <v>[image]</v>
      </c>
      <c r="AR66" s="8"/>
      <c r="AS66" s="8"/>
      <c r="BE66" t="str">
        <f t="shared" si="24"/>
        <v>&lt;&gt;%  ===== imgmax ===========&lt;&gt;section(imgmax, 'CV').&lt;&gt;subsection(imgmax, 'combining').&lt;&gt;description(imgmax, 'takes the channel values from whichever image has R+G+B greatest').&lt;&gt;visual_style(imgmax,  normal).&lt;&gt;inputs(imgmax, [required('A')]).&lt;&gt;outputs(imgmax, ['O']).&lt;&gt;input_types(imgmax, [image, image]).&lt;&gt;output_types(imgmax, [image]).&lt;&gt;</v>
      </c>
    </row>
    <row r="67" spans="3:57" ht="21.75" customHeight="1" x14ac:dyDescent="0.2">
      <c r="C67" s="1" t="str">
        <f t="shared" si="54"/>
        <v>CV</v>
      </c>
      <c r="D67" s="1" t="str">
        <f t="shared" si="55"/>
        <v>combining</v>
      </c>
      <c r="I67" s="3"/>
      <c r="J67" s="10"/>
      <c r="K67" s="10"/>
      <c r="L67" s="10"/>
      <c r="M67" s="10"/>
      <c r="N67" s="4"/>
      <c r="V67" s="9" t="str">
        <f t="shared" si="61"/>
        <v>[</v>
      </c>
      <c r="Z67" t="str">
        <f t="shared" si="7"/>
        <v>[]</v>
      </c>
      <c r="AA67" s="8" t="str">
        <f t="shared" si="62"/>
        <v>[</v>
      </c>
      <c r="AB67" t="str">
        <f t="shared" si="56"/>
        <v/>
      </c>
      <c r="AC67" t="str">
        <f t="shared" si="57"/>
        <v/>
      </c>
      <c r="AD67" t="str">
        <f t="shared" si="58"/>
        <v>[]</v>
      </c>
      <c r="AE67" t="str">
        <f t="shared" si="59"/>
        <v/>
      </c>
      <c r="AF67" t="str">
        <f t="shared" si="13"/>
        <v>visual_style23</v>
      </c>
      <c r="AG67">
        <f t="shared" si="60"/>
        <v>23</v>
      </c>
      <c r="AH67" t="str">
        <f t="shared" si="14"/>
        <v/>
      </c>
      <c r="AM67" t="str">
        <f t="shared" si="67"/>
        <v>[</v>
      </c>
      <c r="BE67" t="str">
        <f t="shared" si="24"/>
        <v/>
      </c>
    </row>
    <row r="68" spans="3:57" ht="21.75" customHeight="1" x14ac:dyDescent="0.2">
      <c r="C68" s="1" t="str">
        <f t="shared" si="54"/>
        <v>CV</v>
      </c>
      <c r="D68" s="1" t="str">
        <f t="shared" si="55"/>
        <v>combining</v>
      </c>
      <c r="I68" s="3"/>
      <c r="J68" s="10"/>
      <c r="K68" s="10"/>
      <c r="L68" s="10"/>
      <c r="M68" s="10"/>
      <c r="N68" s="4"/>
      <c r="V68" s="9" t="str">
        <f t="shared" si="61"/>
        <v>[</v>
      </c>
      <c r="Z68" t="str">
        <f t="shared" si="7"/>
        <v>[]</v>
      </c>
      <c r="AA68" s="8" t="str">
        <f t="shared" si="62"/>
        <v>[</v>
      </c>
      <c r="AB68" t="str">
        <f t="shared" si="56"/>
        <v/>
      </c>
      <c r="AC68" t="str">
        <f t="shared" si="57"/>
        <v/>
      </c>
      <c r="AD68" t="str">
        <f t="shared" si="58"/>
        <v>[]</v>
      </c>
      <c r="AE68" t="str">
        <f t="shared" si="59"/>
        <v/>
      </c>
      <c r="AF68" t="str">
        <f t="shared" si="13"/>
        <v>visual_style23</v>
      </c>
      <c r="AG68">
        <f t="shared" si="60"/>
        <v>23</v>
      </c>
      <c r="AH68" t="str">
        <f t="shared" ref="AH68:AH109" si="72">IF(ISBLANK(E68),"","&lt;&gt;%  ===== "&amp;E68&amp;" ===========&lt;&gt;"&amp;AE68&amp;").&lt;&gt;inputs("&amp;E68&amp;", "&amp;Z68&amp;").&lt;&gt;outputs("&amp;E68&amp;", "&amp;AD68&amp;").&lt;&gt;input_types("&amp;E68&amp;", "&amp;AP68&amp;").&lt;&gt;output_types("&amp;E68&amp;", "&amp;AQ68&amp;").&lt;&gt;"&amp;IF(OR(ISBLANK(E68),ISBLANK(BB68)),"","image_name("&amp;E68&amp;", '/img/blocks/"&amp;BB68&amp;"').&lt;&gt;"))</f>
        <v/>
      </c>
      <c r="BE68" t="str">
        <f t="shared" ref="BE68:BE109" si="73">AH68&amp;IF(OR(ISBLANK(E68),ISBLANK(BC68)), "", "prototype_coordinates("&amp;E68&amp;", "&amp;BC68&amp;", "&amp;BD68&amp;").&lt;&gt;icon_size("&amp;E68&amp;", "&amp;AZ68&amp;", "&amp;BA68&amp;").&lt;&gt;")</f>
        <v/>
      </c>
    </row>
    <row r="69" spans="3:57" ht="21.75" customHeight="1" x14ac:dyDescent="0.2">
      <c r="C69" s="1" t="str">
        <f t="shared" si="54"/>
        <v>CV</v>
      </c>
      <c r="D69" s="1" t="str">
        <f t="shared" si="55"/>
        <v>combining</v>
      </c>
      <c r="I69" s="3"/>
      <c r="J69" s="10"/>
      <c r="K69" s="10"/>
      <c r="L69" s="10"/>
      <c r="M69" s="10"/>
      <c r="N69" s="4"/>
      <c r="V69" s="9" t="str">
        <f t="shared" si="61"/>
        <v>[</v>
      </c>
      <c r="Z69" t="str">
        <f t="shared" si="7"/>
        <v>[]</v>
      </c>
      <c r="AA69" s="8" t="str">
        <f t="shared" si="62"/>
        <v>[</v>
      </c>
      <c r="AB69" t="str">
        <f t="shared" si="56"/>
        <v/>
      </c>
      <c r="AC69" t="str">
        <f t="shared" si="57"/>
        <v/>
      </c>
      <c r="AD69" t="str">
        <f t="shared" si="58"/>
        <v>[]</v>
      </c>
      <c r="AE69" t="str">
        <f t="shared" si="59"/>
        <v/>
      </c>
      <c r="AF69" t="str">
        <f t="shared" si="13"/>
        <v>visual_style23</v>
      </c>
      <c r="AG69">
        <f t="shared" si="60"/>
        <v>23</v>
      </c>
      <c r="AH69" t="str">
        <f t="shared" si="72"/>
        <v/>
      </c>
      <c r="BE69" t="str">
        <f t="shared" si="73"/>
        <v/>
      </c>
    </row>
    <row r="70" spans="3:57" ht="21.75" customHeight="1" x14ac:dyDescent="0.2">
      <c r="C70" s="1" t="str">
        <f t="shared" si="54"/>
        <v>CV</v>
      </c>
      <c r="D70" s="1" t="str">
        <f t="shared" si="55"/>
        <v>combining</v>
      </c>
      <c r="I70" s="3"/>
      <c r="J70" s="10"/>
      <c r="K70" s="10"/>
      <c r="L70" s="10"/>
      <c r="M70" s="10"/>
      <c r="N70" s="4"/>
      <c r="V70" s="9" t="str">
        <f t="shared" si="61"/>
        <v>[</v>
      </c>
      <c r="Z70" t="str">
        <f t="shared" si="7"/>
        <v>[]</v>
      </c>
      <c r="AA70" s="8" t="str">
        <f t="shared" si="62"/>
        <v>[</v>
      </c>
      <c r="AB70" t="str">
        <f t="shared" si="56"/>
        <v/>
      </c>
      <c r="AC70" t="str">
        <f t="shared" si="57"/>
        <v/>
      </c>
      <c r="AD70" t="str">
        <f t="shared" si="58"/>
        <v>[]</v>
      </c>
      <c r="AE70" t="str">
        <f t="shared" si="59"/>
        <v/>
      </c>
      <c r="AF70" t="str">
        <f t="shared" si="13"/>
        <v>visual_style23</v>
      </c>
      <c r="AG70">
        <f t="shared" si="60"/>
        <v>23</v>
      </c>
      <c r="AH70" t="str">
        <f t="shared" si="72"/>
        <v/>
      </c>
      <c r="BE70" t="str">
        <f t="shared" si="73"/>
        <v/>
      </c>
    </row>
    <row r="71" spans="3:57" ht="21.75" customHeight="1" x14ac:dyDescent="0.2">
      <c r="C71" s="1" t="str">
        <f t="shared" si="54"/>
        <v>CV</v>
      </c>
      <c r="D71" s="1" t="str">
        <f t="shared" si="55"/>
        <v>combining</v>
      </c>
      <c r="I71" s="3"/>
      <c r="J71" s="10"/>
      <c r="K71" s="10"/>
      <c r="L71" s="10"/>
      <c r="M71" s="10"/>
      <c r="N71" s="4"/>
      <c r="V71" s="9" t="str">
        <f t="shared" si="61"/>
        <v>[</v>
      </c>
      <c r="Z71" t="str">
        <f t="shared" si="7"/>
        <v>[]</v>
      </c>
      <c r="AA71" s="8" t="str">
        <f t="shared" si="62"/>
        <v>[</v>
      </c>
      <c r="AB71" t="str">
        <f t="shared" si="56"/>
        <v/>
      </c>
      <c r="AC71" t="str">
        <f t="shared" si="57"/>
        <v/>
      </c>
      <c r="AD71" t="str">
        <f t="shared" si="58"/>
        <v>[]</v>
      </c>
      <c r="AE71" t="str">
        <f t="shared" si="59"/>
        <v/>
      </c>
      <c r="AF71" t="str">
        <f t="shared" si="13"/>
        <v>visual_style23</v>
      </c>
      <c r="AG71">
        <f t="shared" si="60"/>
        <v>23</v>
      </c>
      <c r="AH71" t="str">
        <f t="shared" si="72"/>
        <v/>
      </c>
      <c r="BE71" t="str">
        <f t="shared" si="73"/>
        <v/>
      </c>
    </row>
    <row r="72" spans="3:57" ht="21.75" customHeight="1" x14ac:dyDescent="0.2">
      <c r="C72" s="1" t="str">
        <f t="shared" si="54"/>
        <v>CV</v>
      </c>
      <c r="D72" s="1" t="str">
        <f t="shared" si="55"/>
        <v>combining</v>
      </c>
      <c r="I72" s="3"/>
      <c r="J72" s="10"/>
      <c r="K72" s="10"/>
      <c r="L72" s="10"/>
      <c r="M72" s="10"/>
      <c r="N72" s="4"/>
      <c r="V72" s="9" t="str">
        <f t="shared" si="61"/>
        <v>[</v>
      </c>
      <c r="Z72" t="str">
        <f t="shared" si="7"/>
        <v>[]</v>
      </c>
      <c r="AA72" s="8" t="str">
        <f t="shared" si="62"/>
        <v>[</v>
      </c>
      <c r="AB72" t="str">
        <f t="shared" si="56"/>
        <v/>
      </c>
      <c r="AC72" t="str">
        <f t="shared" si="57"/>
        <v/>
      </c>
      <c r="AD72" t="str">
        <f t="shared" si="58"/>
        <v>[]</v>
      </c>
      <c r="AE72" t="str">
        <f t="shared" si="59"/>
        <v/>
      </c>
      <c r="AF72" t="str">
        <f t="shared" si="13"/>
        <v>visual_style23</v>
      </c>
      <c r="AG72">
        <f t="shared" si="60"/>
        <v>23</v>
      </c>
      <c r="AH72" t="str">
        <f t="shared" si="72"/>
        <v/>
      </c>
      <c r="BE72" t="str">
        <f t="shared" si="73"/>
        <v/>
      </c>
    </row>
    <row r="73" spans="3:57" ht="21.75" customHeight="1" x14ac:dyDescent="0.2">
      <c r="C73" s="1" t="str">
        <f t="shared" si="54"/>
        <v>CV</v>
      </c>
      <c r="D73" s="1" t="str">
        <f t="shared" si="55"/>
        <v>combining</v>
      </c>
      <c r="I73" s="3"/>
      <c r="J73" s="10"/>
      <c r="K73" s="10"/>
      <c r="L73" s="10"/>
      <c r="M73" s="10"/>
      <c r="N73" s="4"/>
      <c r="V73" s="9" t="str">
        <f t="shared" si="61"/>
        <v>[</v>
      </c>
      <c r="Z73" t="str">
        <f t="shared" si="7"/>
        <v>[]</v>
      </c>
      <c r="AA73" s="8" t="str">
        <f t="shared" si="62"/>
        <v>[</v>
      </c>
      <c r="AB73" t="str">
        <f t="shared" si="56"/>
        <v/>
      </c>
      <c r="AC73" t="str">
        <f t="shared" si="57"/>
        <v/>
      </c>
      <c r="AD73" t="str">
        <f t="shared" si="58"/>
        <v>[]</v>
      </c>
      <c r="AE73" t="str">
        <f t="shared" si="59"/>
        <v/>
      </c>
      <c r="AF73" t="str">
        <f t="shared" si="13"/>
        <v>visual_style23</v>
      </c>
      <c r="AG73">
        <f t="shared" si="60"/>
        <v>23</v>
      </c>
      <c r="AH73" t="str">
        <f t="shared" si="72"/>
        <v/>
      </c>
      <c r="BE73" t="str">
        <f t="shared" si="73"/>
        <v/>
      </c>
    </row>
    <row r="74" spans="3:57" ht="21.75" customHeight="1" x14ac:dyDescent="0.2">
      <c r="C74" s="1" t="str">
        <f t="shared" si="54"/>
        <v>CV</v>
      </c>
      <c r="D74" s="1" t="str">
        <f t="shared" si="55"/>
        <v>combining</v>
      </c>
      <c r="I74" s="3"/>
      <c r="J74" s="10"/>
      <c r="K74" s="10"/>
      <c r="L74" s="10"/>
      <c r="M74" s="10"/>
      <c r="N74" s="4"/>
      <c r="V74" s="9" t="str">
        <f t="shared" si="61"/>
        <v>[</v>
      </c>
      <c r="Z74" t="str">
        <f t="shared" si="7"/>
        <v>[]</v>
      </c>
      <c r="AA74" s="8" t="str">
        <f t="shared" si="62"/>
        <v>[</v>
      </c>
      <c r="AB74" t="str">
        <f t="shared" si="56"/>
        <v/>
      </c>
      <c r="AC74" t="str">
        <f t="shared" si="57"/>
        <v/>
      </c>
      <c r="AD74" t="str">
        <f t="shared" si="58"/>
        <v>[]</v>
      </c>
      <c r="AE74" t="str">
        <f t="shared" si="59"/>
        <v/>
      </c>
      <c r="AF74" t="str">
        <f t="shared" si="13"/>
        <v>visual_style23</v>
      </c>
      <c r="AG74">
        <f t="shared" si="60"/>
        <v>23</v>
      </c>
      <c r="AH74" t="str">
        <f t="shared" si="72"/>
        <v/>
      </c>
      <c r="BE74" t="str">
        <f t="shared" si="73"/>
        <v/>
      </c>
    </row>
    <row r="75" spans="3:57" ht="21.75" customHeight="1" x14ac:dyDescent="0.2">
      <c r="C75" s="1" t="str">
        <f t="shared" si="54"/>
        <v>CV</v>
      </c>
      <c r="D75" s="1" t="str">
        <f t="shared" si="55"/>
        <v>combining</v>
      </c>
      <c r="I75" s="3"/>
      <c r="J75" s="10"/>
      <c r="K75" s="10"/>
      <c r="L75" s="10"/>
      <c r="M75" s="10"/>
      <c r="N75" s="4"/>
      <c r="V75" s="9" t="str">
        <f t="shared" si="61"/>
        <v>[</v>
      </c>
      <c r="Z75" t="str">
        <f t="shared" si="7"/>
        <v>[]</v>
      </c>
      <c r="AA75" s="8" t="str">
        <f t="shared" si="62"/>
        <v>[</v>
      </c>
      <c r="AB75" t="str">
        <f t="shared" si="56"/>
        <v/>
      </c>
      <c r="AC75" t="str">
        <f t="shared" si="57"/>
        <v/>
      </c>
      <c r="AD75" t="str">
        <f t="shared" si="58"/>
        <v>[]</v>
      </c>
      <c r="AE75" t="str">
        <f t="shared" si="59"/>
        <v/>
      </c>
      <c r="AF75" t="str">
        <f t="shared" si="13"/>
        <v>visual_style23</v>
      </c>
      <c r="AG75">
        <f t="shared" si="60"/>
        <v>23</v>
      </c>
      <c r="AH75" t="str">
        <f t="shared" si="72"/>
        <v/>
      </c>
      <c r="BE75" t="str">
        <f t="shared" si="73"/>
        <v/>
      </c>
    </row>
    <row r="76" spans="3:57" ht="21.75" customHeight="1" x14ac:dyDescent="0.2">
      <c r="C76" s="1" t="str">
        <f t="shared" si="54"/>
        <v>CV</v>
      </c>
      <c r="D76" s="1" t="str">
        <f t="shared" si="55"/>
        <v>combining</v>
      </c>
      <c r="I76" s="3"/>
      <c r="J76" s="10"/>
      <c r="K76" s="10"/>
      <c r="L76" s="10"/>
      <c r="M76" s="10"/>
      <c r="N76" s="4"/>
      <c r="V76" s="9" t="str">
        <f t="shared" si="61"/>
        <v>[</v>
      </c>
      <c r="Z76" t="str">
        <f t="shared" si="7"/>
        <v>[]</v>
      </c>
      <c r="AA76" s="8" t="str">
        <f t="shared" si="62"/>
        <v>[</v>
      </c>
      <c r="AB76" t="str">
        <f t="shared" si="56"/>
        <v/>
      </c>
      <c r="AC76" t="str">
        <f t="shared" si="57"/>
        <v/>
      </c>
      <c r="AD76" t="str">
        <f t="shared" si="58"/>
        <v>[]</v>
      </c>
      <c r="AE76" t="str">
        <f t="shared" si="59"/>
        <v/>
      </c>
      <c r="AF76" t="str">
        <f t="shared" si="13"/>
        <v>visual_style23</v>
      </c>
      <c r="AG76">
        <f t="shared" si="60"/>
        <v>23</v>
      </c>
      <c r="AH76" t="str">
        <f t="shared" si="72"/>
        <v/>
      </c>
      <c r="BE76" t="str">
        <f t="shared" si="73"/>
        <v/>
      </c>
    </row>
    <row r="77" spans="3:57" ht="21.75" customHeight="1" x14ac:dyDescent="0.2">
      <c r="C77" s="1" t="str">
        <f t="shared" si="54"/>
        <v>CV</v>
      </c>
      <c r="D77" s="1" t="str">
        <f t="shared" si="55"/>
        <v>combining</v>
      </c>
      <c r="I77" s="3"/>
      <c r="J77" s="10"/>
      <c r="K77" s="10"/>
      <c r="L77" s="10"/>
      <c r="M77" s="10"/>
      <c r="N77" s="4"/>
      <c r="V77" s="9" t="str">
        <f t="shared" si="61"/>
        <v>[</v>
      </c>
      <c r="Z77" t="str">
        <f t="shared" ref="Z77:Z109" si="74">V77&amp;W77&amp;X77&amp;"]"</f>
        <v>[]</v>
      </c>
      <c r="AA77" s="8" t="str">
        <f t="shared" si="62"/>
        <v>[</v>
      </c>
      <c r="AB77" t="str">
        <f t="shared" si="56"/>
        <v/>
      </c>
      <c r="AC77" t="str">
        <f t="shared" si="57"/>
        <v/>
      </c>
      <c r="AD77" t="str">
        <f t="shared" si="58"/>
        <v>[]</v>
      </c>
      <c r="AE77" t="str">
        <f t="shared" si="59"/>
        <v/>
      </c>
      <c r="AF77" t="str">
        <f t="shared" ref="AF77:AF109" si="75">"visual_style"&amp;AG77</f>
        <v>visual_style23</v>
      </c>
      <c r="AG77">
        <f t="shared" si="60"/>
        <v>23</v>
      </c>
      <c r="AH77" t="str">
        <f t="shared" si="72"/>
        <v/>
      </c>
      <c r="BE77" t="str">
        <f t="shared" si="73"/>
        <v/>
      </c>
    </row>
    <row r="78" spans="3:57" ht="21.75" customHeight="1" x14ac:dyDescent="0.2">
      <c r="C78" s="1" t="str">
        <f t="shared" si="54"/>
        <v>CV</v>
      </c>
      <c r="D78" s="1" t="str">
        <f t="shared" si="55"/>
        <v>combining</v>
      </c>
      <c r="I78" s="3"/>
      <c r="J78" s="10"/>
      <c r="K78" s="10"/>
      <c r="L78" s="10"/>
      <c r="M78" s="10"/>
      <c r="N78" s="4"/>
      <c r="V78" s="9" t="str">
        <f t="shared" si="61"/>
        <v>[</v>
      </c>
      <c r="Z78" t="str">
        <f t="shared" si="74"/>
        <v>[]</v>
      </c>
      <c r="AA78" s="8" t="str">
        <f t="shared" si="62"/>
        <v>[</v>
      </c>
      <c r="AB78" t="str">
        <f t="shared" si="56"/>
        <v/>
      </c>
      <c r="AC78" t="str">
        <f t="shared" si="57"/>
        <v/>
      </c>
      <c r="AD78" t="str">
        <f t="shared" si="58"/>
        <v>[]</v>
      </c>
      <c r="AE78" t="str">
        <f t="shared" si="59"/>
        <v/>
      </c>
      <c r="AF78" t="str">
        <f t="shared" si="75"/>
        <v>visual_style23</v>
      </c>
      <c r="AG78">
        <f t="shared" si="60"/>
        <v>23</v>
      </c>
      <c r="AH78" t="str">
        <f t="shared" si="72"/>
        <v/>
      </c>
      <c r="BE78" t="str">
        <f t="shared" si="73"/>
        <v/>
      </c>
    </row>
    <row r="79" spans="3:57" ht="21.75" customHeight="1" x14ac:dyDescent="0.2">
      <c r="C79" s="1" t="str">
        <f t="shared" si="54"/>
        <v>CV</v>
      </c>
      <c r="D79" s="1" t="str">
        <f t="shared" si="55"/>
        <v>combining</v>
      </c>
      <c r="I79" s="3"/>
      <c r="J79" s="10"/>
      <c r="K79" s="10"/>
      <c r="L79" s="10"/>
      <c r="M79" s="10"/>
      <c r="N79" s="4"/>
      <c r="V79" s="9" t="str">
        <f t="shared" si="61"/>
        <v>[</v>
      </c>
      <c r="Z79" t="str">
        <f t="shared" si="74"/>
        <v>[]</v>
      </c>
      <c r="AA79" s="8" t="str">
        <f t="shared" si="62"/>
        <v>[</v>
      </c>
      <c r="AB79" t="str">
        <f t="shared" si="56"/>
        <v/>
      </c>
      <c r="AC79" t="str">
        <f t="shared" si="57"/>
        <v/>
      </c>
      <c r="AD79" t="str">
        <f t="shared" si="58"/>
        <v>[]</v>
      </c>
      <c r="AE79" t="str">
        <f t="shared" si="59"/>
        <v/>
      </c>
      <c r="AF79" t="str">
        <f t="shared" si="75"/>
        <v>visual_style23</v>
      </c>
      <c r="AG79">
        <f t="shared" si="60"/>
        <v>23</v>
      </c>
      <c r="AH79" t="str">
        <f t="shared" si="72"/>
        <v/>
      </c>
      <c r="BE79" t="str">
        <f t="shared" si="73"/>
        <v/>
      </c>
    </row>
    <row r="80" spans="3:57" ht="21.75" customHeight="1" x14ac:dyDescent="0.2">
      <c r="C80" s="1" t="str">
        <f t="shared" si="54"/>
        <v>CV</v>
      </c>
      <c r="D80" s="1" t="str">
        <f t="shared" si="55"/>
        <v>combining</v>
      </c>
      <c r="I80" s="3"/>
      <c r="J80" s="10"/>
      <c r="K80" s="10"/>
      <c r="L80" s="10"/>
      <c r="M80" s="10"/>
      <c r="N80" s="4"/>
      <c r="V80" s="9" t="str">
        <f t="shared" si="61"/>
        <v>[</v>
      </c>
      <c r="Z80" t="str">
        <f t="shared" si="74"/>
        <v>[]</v>
      </c>
      <c r="AA80" s="8" t="str">
        <f t="shared" si="62"/>
        <v>[</v>
      </c>
      <c r="AB80" t="str">
        <f t="shared" si="56"/>
        <v/>
      </c>
      <c r="AC80" t="str">
        <f t="shared" si="57"/>
        <v/>
      </c>
      <c r="AD80" t="str">
        <f t="shared" si="58"/>
        <v>[]</v>
      </c>
      <c r="AE80" t="str">
        <f t="shared" si="59"/>
        <v/>
      </c>
      <c r="AF80" t="str">
        <f t="shared" si="75"/>
        <v>visual_style23</v>
      </c>
      <c r="AG80">
        <f t="shared" si="60"/>
        <v>23</v>
      </c>
      <c r="AH80" t="str">
        <f t="shared" si="72"/>
        <v/>
      </c>
      <c r="BE80" t="str">
        <f t="shared" si="73"/>
        <v/>
      </c>
    </row>
    <row r="81" spans="3:57" ht="21.75" customHeight="1" x14ac:dyDescent="0.2">
      <c r="C81" s="1" t="str">
        <f t="shared" si="54"/>
        <v>CV</v>
      </c>
      <c r="D81" s="1" t="str">
        <f t="shared" si="55"/>
        <v>combining</v>
      </c>
      <c r="I81" s="3"/>
      <c r="J81" s="10"/>
      <c r="K81" s="10"/>
      <c r="L81" s="10"/>
      <c r="M81" s="10"/>
      <c r="N81" s="4"/>
      <c r="V81" s="9" t="str">
        <f t="shared" si="61"/>
        <v>[</v>
      </c>
      <c r="Z81" t="str">
        <f t="shared" si="74"/>
        <v>[]</v>
      </c>
      <c r="AA81" s="8" t="str">
        <f t="shared" si="62"/>
        <v>[</v>
      </c>
      <c r="AB81" t="str">
        <f t="shared" si="56"/>
        <v/>
      </c>
      <c r="AC81" t="str">
        <f t="shared" si="57"/>
        <v/>
      </c>
      <c r="AD81" t="str">
        <f t="shared" si="58"/>
        <v>[]</v>
      </c>
      <c r="AE81" t="str">
        <f t="shared" si="59"/>
        <v/>
      </c>
      <c r="AF81" t="str">
        <f t="shared" si="75"/>
        <v>visual_style23</v>
      </c>
      <c r="AG81">
        <f t="shared" si="60"/>
        <v>23</v>
      </c>
      <c r="AH81" t="str">
        <f t="shared" si="72"/>
        <v/>
      </c>
      <c r="BE81" t="str">
        <f t="shared" si="73"/>
        <v/>
      </c>
    </row>
    <row r="82" spans="3:57" ht="21.75" customHeight="1" x14ac:dyDescent="0.2">
      <c r="C82" s="1" t="str">
        <f t="shared" si="54"/>
        <v>CV</v>
      </c>
      <c r="D82" s="1" t="str">
        <f t="shared" si="55"/>
        <v>combining</v>
      </c>
      <c r="I82" s="3"/>
      <c r="J82" s="10"/>
      <c r="K82" s="10"/>
      <c r="L82" s="10"/>
      <c r="M82" s="10"/>
      <c r="N82" s="4"/>
      <c r="V82" s="9" t="str">
        <f t="shared" si="61"/>
        <v>[</v>
      </c>
      <c r="Z82" t="str">
        <f t="shared" si="74"/>
        <v>[]</v>
      </c>
      <c r="AA82" s="8" t="str">
        <f t="shared" si="62"/>
        <v>[</v>
      </c>
      <c r="AB82" t="str">
        <f t="shared" si="56"/>
        <v/>
      </c>
      <c r="AC82" t="str">
        <f t="shared" si="57"/>
        <v/>
      </c>
      <c r="AD82" t="str">
        <f t="shared" si="58"/>
        <v>[]</v>
      </c>
      <c r="AE82" t="str">
        <f t="shared" si="59"/>
        <v/>
      </c>
      <c r="AF82" t="str">
        <f t="shared" si="75"/>
        <v>visual_style23</v>
      </c>
      <c r="AG82">
        <f t="shared" si="60"/>
        <v>23</v>
      </c>
      <c r="AH82" t="str">
        <f t="shared" si="72"/>
        <v/>
      </c>
      <c r="BE82" t="str">
        <f t="shared" si="73"/>
        <v/>
      </c>
    </row>
    <row r="83" spans="3:57" ht="21.75" customHeight="1" x14ac:dyDescent="0.2">
      <c r="C83" s="1" t="str">
        <f t="shared" si="54"/>
        <v>CV</v>
      </c>
      <c r="D83" s="1" t="str">
        <f t="shared" si="55"/>
        <v>combining</v>
      </c>
      <c r="I83" s="3"/>
      <c r="J83" s="10"/>
      <c r="K83" s="10"/>
      <c r="L83" s="10"/>
      <c r="M83" s="10"/>
      <c r="N83" s="4"/>
      <c r="V83" s="9" t="str">
        <f t="shared" si="61"/>
        <v>[</v>
      </c>
      <c r="Z83" t="str">
        <f t="shared" si="74"/>
        <v>[]</v>
      </c>
      <c r="AA83" s="8" t="str">
        <f t="shared" si="62"/>
        <v>[</v>
      </c>
      <c r="AB83" t="str">
        <f t="shared" si="56"/>
        <v/>
      </c>
      <c r="AC83" t="str">
        <f t="shared" si="57"/>
        <v/>
      </c>
      <c r="AD83" t="str">
        <f t="shared" si="58"/>
        <v>[]</v>
      </c>
      <c r="AE83" t="str">
        <f t="shared" si="59"/>
        <v/>
      </c>
      <c r="AF83" t="str">
        <f t="shared" si="75"/>
        <v>visual_style23</v>
      </c>
      <c r="AG83">
        <f t="shared" si="60"/>
        <v>23</v>
      </c>
      <c r="AH83" t="str">
        <f t="shared" si="72"/>
        <v/>
      </c>
      <c r="BE83" t="str">
        <f t="shared" si="73"/>
        <v/>
      </c>
    </row>
    <row r="84" spans="3:57" ht="21.75" customHeight="1" x14ac:dyDescent="0.2">
      <c r="C84" s="1" t="str">
        <f t="shared" si="54"/>
        <v>CV</v>
      </c>
      <c r="D84" s="1" t="str">
        <f t="shared" si="55"/>
        <v>combining</v>
      </c>
      <c r="I84" s="3"/>
      <c r="J84" s="10"/>
      <c r="K84" s="10"/>
      <c r="L84" s="10"/>
      <c r="M84" s="10"/>
      <c r="N84" s="4"/>
      <c r="V84" s="9" t="str">
        <f t="shared" si="61"/>
        <v>[</v>
      </c>
      <c r="Z84" t="str">
        <f t="shared" si="74"/>
        <v>[]</v>
      </c>
      <c r="AA84" s="8" t="str">
        <f t="shared" si="62"/>
        <v>[</v>
      </c>
      <c r="AB84" t="str">
        <f t="shared" si="56"/>
        <v/>
      </c>
      <c r="AC84" t="str">
        <f t="shared" si="57"/>
        <v/>
      </c>
      <c r="AD84" t="str">
        <f t="shared" si="58"/>
        <v>[]</v>
      </c>
      <c r="AE84" t="str">
        <f t="shared" si="59"/>
        <v/>
      </c>
      <c r="AF84" t="str">
        <f t="shared" si="75"/>
        <v>visual_style23</v>
      </c>
      <c r="AG84">
        <f t="shared" si="60"/>
        <v>23</v>
      </c>
      <c r="AH84" t="str">
        <f t="shared" si="72"/>
        <v/>
      </c>
      <c r="BE84" t="str">
        <f t="shared" si="73"/>
        <v/>
      </c>
    </row>
    <row r="85" spans="3:57" ht="21.75" customHeight="1" x14ac:dyDescent="0.2">
      <c r="C85" s="1" t="str">
        <f t="shared" si="54"/>
        <v>CV</v>
      </c>
      <c r="D85" s="1" t="str">
        <f t="shared" si="55"/>
        <v>combining</v>
      </c>
      <c r="I85" s="3"/>
      <c r="J85" s="10"/>
      <c r="K85" s="10"/>
      <c r="L85" s="10"/>
      <c r="M85" s="10"/>
      <c r="N85" s="4"/>
      <c r="V85" s="9" t="str">
        <f t="shared" si="61"/>
        <v>[</v>
      </c>
      <c r="Z85" t="str">
        <f t="shared" si="74"/>
        <v>[]</v>
      </c>
      <c r="AA85" s="8" t="str">
        <f t="shared" si="62"/>
        <v>[</v>
      </c>
      <c r="AB85" t="str">
        <f t="shared" si="56"/>
        <v/>
      </c>
      <c r="AC85" t="str">
        <f t="shared" si="57"/>
        <v/>
      </c>
      <c r="AD85" t="str">
        <f t="shared" si="58"/>
        <v>[]</v>
      </c>
      <c r="AE85" t="str">
        <f t="shared" si="59"/>
        <v/>
      </c>
      <c r="AF85" t="str">
        <f t="shared" si="75"/>
        <v>visual_style23</v>
      </c>
      <c r="AG85">
        <f t="shared" si="60"/>
        <v>23</v>
      </c>
      <c r="AH85" t="str">
        <f t="shared" si="72"/>
        <v/>
      </c>
      <c r="BE85" t="str">
        <f t="shared" si="73"/>
        <v/>
      </c>
    </row>
    <row r="86" spans="3:57" ht="21.75" customHeight="1" x14ac:dyDescent="0.2">
      <c r="C86" s="1" t="str">
        <f t="shared" si="54"/>
        <v>CV</v>
      </c>
      <c r="D86" s="1" t="str">
        <f t="shared" si="55"/>
        <v>combining</v>
      </c>
      <c r="I86" s="3"/>
      <c r="J86" s="10"/>
      <c r="K86" s="10"/>
      <c r="L86" s="10"/>
      <c r="M86" s="10"/>
      <c r="N86" s="4"/>
      <c r="V86" s="9" t="str">
        <f t="shared" si="61"/>
        <v>[</v>
      </c>
      <c r="Z86" t="str">
        <f t="shared" si="74"/>
        <v>[]</v>
      </c>
      <c r="AA86" s="8" t="str">
        <f t="shared" si="62"/>
        <v>[</v>
      </c>
      <c r="AB86" t="str">
        <f t="shared" si="56"/>
        <v/>
      </c>
      <c r="AC86" t="str">
        <f t="shared" si="57"/>
        <v/>
      </c>
      <c r="AD86" t="str">
        <f t="shared" si="58"/>
        <v>[]</v>
      </c>
      <c r="AE86" t="str">
        <f t="shared" si="59"/>
        <v/>
      </c>
      <c r="AF86" t="str">
        <f t="shared" si="75"/>
        <v>visual_style23</v>
      </c>
      <c r="AG86">
        <f t="shared" si="60"/>
        <v>23</v>
      </c>
      <c r="AH86" t="str">
        <f t="shared" si="72"/>
        <v/>
      </c>
      <c r="BE86" t="str">
        <f t="shared" si="73"/>
        <v/>
      </c>
    </row>
    <row r="87" spans="3:57" ht="21.75" customHeight="1" x14ac:dyDescent="0.2">
      <c r="C87" s="1" t="str">
        <f t="shared" si="54"/>
        <v>CV</v>
      </c>
      <c r="D87" s="1" t="str">
        <f t="shared" si="55"/>
        <v>combining</v>
      </c>
      <c r="I87" s="3"/>
      <c r="J87" s="10"/>
      <c r="K87" s="10"/>
      <c r="L87" s="10"/>
      <c r="M87" s="10"/>
      <c r="N87" s="4"/>
      <c r="V87" s="9" t="str">
        <f t="shared" si="61"/>
        <v>[</v>
      </c>
      <c r="Z87" t="str">
        <f t="shared" si="74"/>
        <v>[]</v>
      </c>
      <c r="AA87" s="8" t="str">
        <f t="shared" si="62"/>
        <v>[</v>
      </c>
      <c r="AB87" t="str">
        <f t="shared" si="56"/>
        <v/>
      </c>
      <c r="AC87" t="str">
        <f t="shared" si="57"/>
        <v/>
      </c>
      <c r="AD87" t="str">
        <f t="shared" si="58"/>
        <v>[]</v>
      </c>
      <c r="AE87" t="str">
        <f t="shared" si="59"/>
        <v/>
      </c>
      <c r="AF87" t="str">
        <f t="shared" si="75"/>
        <v>visual_style23</v>
      </c>
      <c r="AG87">
        <f t="shared" si="60"/>
        <v>23</v>
      </c>
      <c r="AH87" t="str">
        <f t="shared" si="72"/>
        <v/>
      </c>
      <c r="BE87" t="str">
        <f t="shared" si="73"/>
        <v/>
      </c>
    </row>
    <row r="88" spans="3:57" ht="21.75" customHeight="1" x14ac:dyDescent="0.2">
      <c r="C88" s="1" t="str">
        <f t="shared" si="54"/>
        <v>CV</v>
      </c>
      <c r="D88" s="1" t="str">
        <f t="shared" si="55"/>
        <v>combining</v>
      </c>
      <c r="I88" s="3"/>
      <c r="J88" s="10"/>
      <c r="K88" s="10"/>
      <c r="L88" s="10"/>
      <c r="M88" s="10"/>
      <c r="N88" s="4"/>
      <c r="V88" s="9" t="str">
        <f t="shared" si="61"/>
        <v>[</v>
      </c>
      <c r="Z88" t="str">
        <f t="shared" si="74"/>
        <v>[]</v>
      </c>
      <c r="AA88" s="8" t="str">
        <f t="shared" si="62"/>
        <v>[</v>
      </c>
      <c r="AB88" t="str">
        <f t="shared" si="56"/>
        <v/>
      </c>
      <c r="AC88" t="str">
        <f t="shared" si="57"/>
        <v/>
      </c>
      <c r="AD88" t="str">
        <f t="shared" si="58"/>
        <v>[]</v>
      </c>
      <c r="AE88" t="str">
        <f t="shared" si="59"/>
        <v/>
      </c>
      <c r="AF88" t="str">
        <f t="shared" si="75"/>
        <v>visual_style23</v>
      </c>
      <c r="AG88">
        <f t="shared" si="60"/>
        <v>23</v>
      </c>
      <c r="AH88" t="str">
        <f t="shared" si="72"/>
        <v/>
      </c>
      <c r="BE88" t="str">
        <f t="shared" si="73"/>
        <v/>
      </c>
    </row>
    <row r="89" spans="3:57" ht="21.75" customHeight="1" x14ac:dyDescent="0.2">
      <c r="C89" s="1" t="str">
        <f t="shared" si="54"/>
        <v>CV</v>
      </c>
      <c r="D89" s="1" t="str">
        <f t="shared" si="55"/>
        <v>combining</v>
      </c>
      <c r="I89" s="3"/>
      <c r="J89" s="10"/>
      <c r="K89" s="10"/>
      <c r="L89" s="10"/>
      <c r="M89" s="10"/>
      <c r="N89" s="4"/>
      <c r="V89" s="9" t="str">
        <f t="shared" si="61"/>
        <v>[</v>
      </c>
      <c r="Z89" t="str">
        <f t="shared" si="74"/>
        <v>[]</v>
      </c>
      <c r="AA89" s="8" t="str">
        <f t="shared" si="62"/>
        <v>[</v>
      </c>
      <c r="AB89" t="str">
        <f t="shared" si="56"/>
        <v/>
      </c>
      <c r="AC89" t="str">
        <f t="shared" si="57"/>
        <v/>
      </c>
      <c r="AD89" t="str">
        <f t="shared" si="58"/>
        <v>[]</v>
      </c>
      <c r="AE89" t="str">
        <f t="shared" si="59"/>
        <v/>
      </c>
      <c r="AF89" t="str">
        <f t="shared" si="75"/>
        <v>visual_style23</v>
      </c>
      <c r="AG89">
        <f t="shared" si="60"/>
        <v>23</v>
      </c>
      <c r="AH89" t="str">
        <f t="shared" si="72"/>
        <v/>
      </c>
      <c r="BE89" t="str">
        <f t="shared" si="73"/>
        <v/>
      </c>
    </row>
    <row r="90" spans="3:57" ht="21.75" customHeight="1" x14ac:dyDescent="0.2">
      <c r="C90" s="1" t="str">
        <f t="shared" ref="C90:C109" si="76">IF(ISBLANK(A90),C89,A90)</f>
        <v>CV</v>
      </c>
      <c r="D90" s="1" t="str">
        <f t="shared" ref="D90:D109" si="77">IF(NOT(ISBLANK(B90)), B90, IF(ISBLANK(A90), D89,A90))</f>
        <v>combining</v>
      </c>
      <c r="I90" s="3"/>
      <c r="J90" s="10"/>
      <c r="K90" s="10"/>
      <c r="L90" s="10"/>
      <c r="M90" s="10"/>
      <c r="N90" s="4"/>
      <c r="V90" s="9" t="str">
        <f t="shared" si="61"/>
        <v>[</v>
      </c>
      <c r="Z90" t="str">
        <f t="shared" si="74"/>
        <v>[]</v>
      </c>
      <c r="AA90" s="8" t="str">
        <f t="shared" si="62"/>
        <v>[</v>
      </c>
      <c r="AB90" t="str">
        <f t="shared" si="56"/>
        <v/>
      </c>
      <c r="AC90" t="str">
        <f t="shared" si="57"/>
        <v/>
      </c>
      <c r="AD90" t="str">
        <f t="shared" si="58"/>
        <v>[]</v>
      </c>
      <c r="AE90" t="str">
        <f t="shared" si="59"/>
        <v/>
      </c>
      <c r="AF90" t="str">
        <f t="shared" si="75"/>
        <v>visual_style23</v>
      </c>
      <c r="AG90">
        <f t="shared" si="60"/>
        <v>23</v>
      </c>
      <c r="AH90" t="str">
        <f t="shared" si="72"/>
        <v/>
      </c>
      <c r="BE90" t="str">
        <f t="shared" si="73"/>
        <v/>
      </c>
    </row>
    <row r="91" spans="3:57" ht="21.75" customHeight="1" x14ac:dyDescent="0.2">
      <c r="C91" s="1" t="str">
        <f t="shared" si="76"/>
        <v>CV</v>
      </c>
      <c r="D91" s="1" t="str">
        <f t="shared" si="77"/>
        <v>combining</v>
      </c>
      <c r="I91" s="3"/>
      <c r="J91" s="10"/>
      <c r="K91" s="10"/>
      <c r="L91" s="10"/>
      <c r="M91" s="10"/>
      <c r="N91" s="4"/>
      <c r="V91" s="9" t="str">
        <f t="shared" si="61"/>
        <v>[</v>
      </c>
      <c r="Z91" t="str">
        <f t="shared" si="74"/>
        <v>[]</v>
      </c>
      <c r="AA91" s="8" t="str">
        <f t="shared" si="62"/>
        <v>[</v>
      </c>
      <c r="AB91" t="str">
        <f t="shared" si="56"/>
        <v/>
      </c>
      <c r="AC91" t="str">
        <f t="shared" si="57"/>
        <v/>
      </c>
      <c r="AD91" t="str">
        <f t="shared" si="58"/>
        <v>[]</v>
      </c>
      <c r="AE91" t="str">
        <f t="shared" si="59"/>
        <v/>
      </c>
      <c r="AF91" t="str">
        <f t="shared" si="75"/>
        <v>visual_style23</v>
      </c>
      <c r="AG91">
        <f t="shared" si="60"/>
        <v>23</v>
      </c>
      <c r="AH91" t="str">
        <f t="shared" si="72"/>
        <v/>
      </c>
      <c r="BE91" t="str">
        <f t="shared" si="73"/>
        <v/>
      </c>
    </row>
    <row r="92" spans="3:57" ht="21.75" customHeight="1" x14ac:dyDescent="0.2">
      <c r="C92" s="1" t="str">
        <f t="shared" si="76"/>
        <v>CV</v>
      </c>
      <c r="D92" s="1" t="str">
        <f t="shared" si="77"/>
        <v>combining</v>
      </c>
      <c r="I92" s="3"/>
      <c r="J92" s="10"/>
      <c r="K92" s="10"/>
      <c r="L92" s="10"/>
      <c r="M92" s="10"/>
      <c r="N92" s="4"/>
      <c r="V92" s="9" t="str">
        <f t="shared" si="61"/>
        <v>[</v>
      </c>
      <c r="Z92" t="str">
        <f t="shared" si="74"/>
        <v>[]</v>
      </c>
      <c r="AA92" s="8" t="str">
        <f t="shared" si="62"/>
        <v>[</v>
      </c>
      <c r="AB92" t="str">
        <f t="shared" si="56"/>
        <v/>
      </c>
      <c r="AC92" t="str">
        <f t="shared" si="57"/>
        <v/>
      </c>
      <c r="AD92" t="str">
        <f t="shared" si="58"/>
        <v>[]</v>
      </c>
      <c r="AE92" t="str">
        <f t="shared" si="59"/>
        <v/>
      </c>
      <c r="AF92" t="str">
        <f t="shared" si="75"/>
        <v>visual_style23</v>
      </c>
      <c r="AG92">
        <f t="shared" si="60"/>
        <v>23</v>
      </c>
      <c r="AH92" t="str">
        <f t="shared" si="72"/>
        <v/>
      </c>
      <c r="BE92" t="str">
        <f t="shared" si="73"/>
        <v/>
      </c>
    </row>
    <row r="93" spans="3:57" ht="21.75" customHeight="1" x14ac:dyDescent="0.2">
      <c r="C93" s="1" t="str">
        <f t="shared" si="76"/>
        <v>CV</v>
      </c>
      <c r="D93" s="1" t="str">
        <f t="shared" si="77"/>
        <v>combining</v>
      </c>
      <c r="I93" s="3"/>
      <c r="J93" s="10"/>
      <c r="K93" s="10"/>
      <c r="L93" s="10"/>
      <c r="M93" s="10"/>
      <c r="N93" s="4"/>
      <c r="V93" s="9" t="str">
        <f t="shared" si="61"/>
        <v>[</v>
      </c>
      <c r="Z93" t="str">
        <f t="shared" si="74"/>
        <v>[]</v>
      </c>
      <c r="AA93" s="8" t="str">
        <f t="shared" si="62"/>
        <v>[</v>
      </c>
      <c r="AB93" t="str">
        <f t="shared" si="56"/>
        <v/>
      </c>
      <c r="AC93" t="str">
        <f t="shared" si="57"/>
        <v/>
      </c>
      <c r="AD93" t="str">
        <f t="shared" si="58"/>
        <v>[]</v>
      </c>
      <c r="AE93" t="str">
        <f t="shared" si="59"/>
        <v/>
      </c>
      <c r="AF93" t="str">
        <f t="shared" si="75"/>
        <v>visual_style23</v>
      </c>
      <c r="AG93">
        <f t="shared" si="60"/>
        <v>23</v>
      </c>
      <c r="AH93" t="str">
        <f t="shared" si="72"/>
        <v/>
      </c>
      <c r="BE93" t="str">
        <f t="shared" si="73"/>
        <v/>
      </c>
    </row>
    <row r="94" spans="3:57" ht="21.75" customHeight="1" x14ac:dyDescent="0.2">
      <c r="C94" s="1" t="str">
        <f t="shared" si="76"/>
        <v>CV</v>
      </c>
      <c r="D94" s="1" t="str">
        <f t="shared" si="77"/>
        <v>combining</v>
      </c>
      <c r="I94" s="3"/>
      <c r="J94" s="10"/>
      <c r="K94" s="10"/>
      <c r="L94" s="10"/>
      <c r="M94" s="10"/>
      <c r="N94" s="4"/>
      <c r="V94" s="9" t="str">
        <f t="shared" si="61"/>
        <v>[</v>
      </c>
      <c r="Z94" t="str">
        <f t="shared" si="74"/>
        <v>[]</v>
      </c>
      <c r="AA94" s="8" t="str">
        <f t="shared" si="62"/>
        <v>[</v>
      </c>
      <c r="AB94" t="str">
        <f t="shared" si="56"/>
        <v/>
      </c>
      <c r="AC94" t="str">
        <f t="shared" si="57"/>
        <v/>
      </c>
      <c r="AD94" t="str">
        <f t="shared" si="58"/>
        <v>[]</v>
      </c>
      <c r="AE94" t="str">
        <f t="shared" si="59"/>
        <v/>
      </c>
      <c r="AF94" t="str">
        <f t="shared" si="75"/>
        <v>visual_style23</v>
      </c>
      <c r="AG94">
        <f t="shared" si="60"/>
        <v>23</v>
      </c>
      <c r="AH94" t="str">
        <f t="shared" si="72"/>
        <v/>
      </c>
      <c r="BE94" t="str">
        <f t="shared" si="73"/>
        <v/>
      </c>
    </row>
    <row r="95" spans="3:57" ht="21.75" customHeight="1" x14ac:dyDescent="0.2">
      <c r="C95" s="1" t="str">
        <f t="shared" si="76"/>
        <v>CV</v>
      </c>
      <c r="D95" s="1" t="str">
        <f t="shared" si="77"/>
        <v>combining</v>
      </c>
      <c r="I95" s="3"/>
      <c r="J95" s="10"/>
      <c r="K95" s="10"/>
      <c r="L95" s="10"/>
      <c r="M95" s="10"/>
      <c r="N95" s="4"/>
      <c r="V95" s="9" t="str">
        <f t="shared" si="61"/>
        <v>[</v>
      </c>
      <c r="Z95" t="str">
        <f t="shared" si="74"/>
        <v>[]</v>
      </c>
      <c r="AA95" s="8" t="str">
        <f t="shared" si="62"/>
        <v>[</v>
      </c>
      <c r="AB95" t="str">
        <f t="shared" si="56"/>
        <v/>
      </c>
      <c r="AC95" t="str">
        <f t="shared" si="57"/>
        <v/>
      </c>
      <c r="AD95" t="str">
        <f t="shared" si="58"/>
        <v>[]</v>
      </c>
      <c r="AE95" t="str">
        <f t="shared" si="59"/>
        <v/>
      </c>
      <c r="AF95" t="str">
        <f t="shared" si="75"/>
        <v>visual_style23</v>
      </c>
      <c r="AG95">
        <f t="shared" si="60"/>
        <v>23</v>
      </c>
      <c r="AH95" t="str">
        <f t="shared" si="72"/>
        <v/>
      </c>
      <c r="BE95" t="str">
        <f t="shared" si="73"/>
        <v/>
      </c>
    </row>
    <row r="96" spans="3:57" ht="21.75" customHeight="1" x14ac:dyDescent="0.2">
      <c r="C96" s="1" t="str">
        <f t="shared" si="76"/>
        <v>CV</v>
      </c>
      <c r="D96" s="1" t="str">
        <f t="shared" si="77"/>
        <v>combining</v>
      </c>
      <c r="I96" s="3"/>
      <c r="J96" s="10"/>
      <c r="K96" s="10"/>
      <c r="L96" s="10"/>
      <c r="M96" s="10"/>
      <c r="N96" s="4"/>
      <c r="V96" s="9" t="str">
        <f t="shared" si="61"/>
        <v>[</v>
      </c>
      <c r="Z96" t="str">
        <f t="shared" si="74"/>
        <v>[]</v>
      </c>
      <c r="AA96" s="8" t="str">
        <f t="shared" si="62"/>
        <v>[</v>
      </c>
      <c r="AB96" t="str">
        <f t="shared" si="56"/>
        <v/>
      </c>
      <c r="AC96" t="str">
        <f t="shared" si="57"/>
        <v/>
      </c>
      <c r="AD96" t="str">
        <f t="shared" si="58"/>
        <v>[]</v>
      </c>
      <c r="AE96" t="str">
        <f t="shared" si="59"/>
        <v/>
      </c>
      <c r="AF96" t="str">
        <f t="shared" si="75"/>
        <v>visual_style23</v>
      </c>
      <c r="AG96">
        <f t="shared" si="60"/>
        <v>23</v>
      </c>
      <c r="AH96" t="str">
        <f t="shared" si="72"/>
        <v/>
      </c>
      <c r="BE96" t="str">
        <f t="shared" si="73"/>
        <v/>
      </c>
    </row>
    <row r="97" spans="3:57" ht="21.75" customHeight="1" x14ac:dyDescent="0.2">
      <c r="C97" s="1" t="str">
        <f t="shared" si="76"/>
        <v>CV</v>
      </c>
      <c r="D97" s="1" t="str">
        <f t="shared" si="77"/>
        <v>combining</v>
      </c>
      <c r="I97" s="3"/>
      <c r="J97" s="10"/>
      <c r="K97" s="10"/>
      <c r="L97" s="10"/>
      <c r="M97" s="10"/>
      <c r="N97" s="4"/>
      <c r="V97" s="9" t="str">
        <f t="shared" si="61"/>
        <v>[</v>
      </c>
      <c r="Z97" t="str">
        <f t="shared" si="74"/>
        <v>[]</v>
      </c>
      <c r="AA97" s="8" t="str">
        <f t="shared" si="62"/>
        <v>[</v>
      </c>
      <c r="AB97" t="str">
        <f t="shared" si="56"/>
        <v/>
      </c>
      <c r="AC97" t="str">
        <f t="shared" si="57"/>
        <v/>
      </c>
      <c r="AD97" t="str">
        <f t="shared" si="58"/>
        <v>[]</v>
      </c>
      <c r="AE97" t="str">
        <f t="shared" si="59"/>
        <v/>
      </c>
      <c r="AF97" t="str">
        <f t="shared" si="75"/>
        <v>visual_style23</v>
      </c>
      <c r="AG97">
        <f t="shared" si="60"/>
        <v>23</v>
      </c>
      <c r="AH97" t="str">
        <f t="shared" si="72"/>
        <v/>
      </c>
      <c r="BE97" t="str">
        <f t="shared" si="73"/>
        <v/>
      </c>
    </row>
    <row r="98" spans="3:57" ht="21.75" customHeight="1" x14ac:dyDescent="0.2">
      <c r="C98" s="1" t="str">
        <f t="shared" si="76"/>
        <v>CV</v>
      </c>
      <c r="D98" s="1" t="str">
        <f t="shared" si="77"/>
        <v>combining</v>
      </c>
      <c r="I98" s="3"/>
      <c r="J98" s="10"/>
      <c r="K98" s="10"/>
      <c r="L98" s="10"/>
      <c r="M98" s="10"/>
      <c r="N98" s="4"/>
      <c r="V98" s="9" t="str">
        <f t="shared" si="61"/>
        <v>[</v>
      </c>
      <c r="Z98" t="str">
        <f t="shared" si="74"/>
        <v>[]</v>
      </c>
      <c r="AA98" s="8" t="str">
        <f t="shared" si="62"/>
        <v>[</v>
      </c>
      <c r="AB98" t="str">
        <f t="shared" si="56"/>
        <v/>
      </c>
      <c r="AC98" t="str">
        <f t="shared" si="57"/>
        <v/>
      </c>
      <c r="AD98" t="str">
        <f t="shared" si="58"/>
        <v>[]</v>
      </c>
      <c r="AE98" t="str">
        <f t="shared" si="59"/>
        <v/>
      </c>
      <c r="AF98" t="str">
        <f t="shared" si="75"/>
        <v>visual_style23</v>
      </c>
      <c r="AG98">
        <f t="shared" si="60"/>
        <v>23</v>
      </c>
      <c r="AH98" t="str">
        <f t="shared" si="72"/>
        <v/>
      </c>
      <c r="BE98" t="str">
        <f t="shared" si="73"/>
        <v/>
      </c>
    </row>
    <row r="99" spans="3:57" ht="21.75" customHeight="1" x14ac:dyDescent="0.2">
      <c r="C99" s="1" t="str">
        <f t="shared" si="76"/>
        <v>CV</v>
      </c>
      <c r="D99" s="1" t="str">
        <f t="shared" si="77"/>
        <v>combining</v>
      </c>
      <c r="I99" s="3"/>
      <c r="J99" s="10"/>
      <c r="K99" s="10"/>
      <c r="L99" s="10"/>
      <c r="M99" s="10"/>
      <c r="N99" s="4"/>
      <c r="V99" s="9" t="str">
        <f t="shared" si="61"/>
        <v>[</v>
      </c>
      <c r="Z99" t="str">
        <f t="shared" si="74"/>
        <v>[]</v>
      </c>
      <c r="AA99" s="8" t="str">
        <f t="shared" si="62"/>
        <v>[</v>
      </c>
      <c r="AB99" t="str">
        <f t="shared" si="56"/>
        <v/>
      </c>
      <c r="AC99" t="str">
        <f t="shared" si="57"/>
        <v/>
      </c>
      <c r="AD99" t="str">
        <f t="shared" si="58"/>
        <v>[]</v>
      </c>
      <c r="AE99" t="str">
        <f t="shared" si="59"/>
        <v/>
      </c>
      <c r="AF99" t="str">
        <f t="shared" si="75"/>
        <v>visual_style23</v>
      </c>
      <c r="AG99">
        <f t="shared" si="60"/>
        <v>23</v>
      </c>
      <c r="AH99" t="str">
        <f t="shared" si="72"/>
        <v/>
      </c>
      <c r="BE99" t="str">
        <f t="shared" si="73"/>
        <v/>
      </c>
    </row>
    <row r="100" spans="3:57" ht="21.75" customHeight="1" x14ac:dyDescent="0.2">
      <c r="C100" s="1" t="str">
        <f t="shared" si="76"/>
        <v>CV</v>
      </c>
      <c r="D100" s="1" t="str">
        <f t="shared" si="77"/>
        <v>combining</v>
      </c>
      <c r="I100" s="3"/>
      <c r="J100" s="10"/>
      <c r="K100" s="10"/>
      <c r="L100" s="10"/>
      <c r="M100" s="10"/>
      <c r="N100" s="4"/>
      <c r="V100" s="9" t="str">
        <f t="shared" si="61"/>
        <v>[</v>
      </c>
      <c r="Z100" t="str">
        <f t="shared" si="74"/>
        <v>[]</v>
      </c>
      <c r="AA100" s="8" t="str">
        <f t="shared" si="62"/>
        <v>[</v>
      </c>
      <c r="AB100" t="str">
        <f t="shared" si="56"/>
        <v/>
      </c>
      <c r="AC100" t="str">
        <f t="shared" si="57"/>
        <v/>
      </c>
      <c r="AD100" t="str">
        <f t="shared" si="58"/>
        <v>[]</v>
      </c>
      <c r="AE100" t="str">
        <f t="shared" si="59"/>
        <v/>
      </c>
      <c r="AF100" t="str">
        <f t="shared" si="75"/>
        <v>visual_style23</v>
      </c>
      <c r="AG100">
        <f t="shared" si="60"/>
        <v>23</v>
      </c>
      <c r="AH100" t="str">
        <f t="shared" si="72"/>
        <v/>
      </c>
      <c r="BE100" t="str">
        <f t="shared" si="73"/>
        <v/>
      </c>
    </row>
    <row r="101" spans="3:57" ht="21.75" customHeight="1" x14ac:dyDescent="0.2">
      <c r="C101" s="1" t="str">
        <f t="shared" si="76"/>
        <v>CV</v>
      </c>
      <c r="D101" s="1" t="str">
        <f t="shared" si="77"/>
        <v>combining</v>
      </c>
      <c r="I101" s="3"/>
      <c r="J101" s="10"/>
      <c r="K101" s="10"/>
      <c r="L101" s="10"/>
      <c r="M101" s="10"/>
      <c r="N101" s="4"/>
      <c r="V101" s="9" t="str">
        <f t="shared" si="61"/>
        <v>[</v>
      </c>
      <c r="Z101" t="str">
        <f t="shared" si="74"/>
        <v>[]</v>
      </c>
      <c r="AA101" s="8" t="str">
        <f t="shared" si="62"/>
        <v>[</v>
      </c>
      <c r="AB101" t="str">
        <f t="shared" si="56"/>
        <v/>
      </c>
      <c r="AC101" t="str">
        <f t="shared" si="57"/>
        <v/>
      </c>
      <c r="AD101" t="str">
        <f t="shared" si="58"/>
        <v>[]</v>
      </c>
      <c r="AE101" t="str">
        <f t="shared" si="59"/>
        <v/>
      </c>
      <c r="AF101" t="str">
        <f t="shared" si="75"/>
        <v>visual_style23</v>
      </c>
      <c r="AG101">
        <f t="shared" si="60"/>
        <v>23</v>
      </c>
      <c r="AH101" t="str">
        <f t="shared" si="72"/>
        <v/>
      </c>
      <c r="BE101" t="str">
        <f t="shared" si="73"/>
        <v/>
      </c>
    </row>
    <row r="102" spans="3:57" ht="21.75" customHeight="1" x14ac:dyDescent="0.2">
      <c r="C102" s="1" t="str">
        <f t="shared" si="76"/>
        <v>CV</v>
      </c>
      <c r="D102" s="1" t="str">
        <f t="shared" si="77"/>
        <v>combining</v>
      </c>
      <c r="I102" s="3"/>
      <c r="J102" s="10"/>
      <c r="K102" s="10"/>
      <c r="L102" s="10"/>
      <c r="M102" s="10"/>
      <c r="N102" s="4"/>
      <c r="V102" s="9" t="str">
        <f t="shared" si="61"/>
        <v>[</v>
      </c>
      <c r="Z102" t="str">
        <f t="shared" si="74"/>
        <v>[]</v>
      </c>
      <c r="AA102" s="8" t="str">
        <f t="shared" si="62"/>
        <v>[</v>
      </c>
      <c r="AB102" t="str">
        <f t="shared" si="56"/>
        <v/>
      </c>
      <c r="AC102" t="str">
        <f t="shared" si="57"/>
        <v/>
      </c>
      <c r="AD102" t="str">
        <f t="shared" si="58"/>
        <v>[]</v>
      </c>
      <c r="AE102" t="str">
        <f t="shared" si="59"/>
        <v/>
      </c>
      <c r="AF102" t="str">
        <f t="shared" si="75"/>
        <v>visual_style23</v>
      </c>
      <c r="AG102">
        <f t="shared" si="60"/>
        <v>23</v>
      </c>
      <c r="AH102" t="str">
        <f t="shared" si="72"/>
        <v/>
      </c>
      <c r="BE102" t="str">
        <f t="shared" si="73"/>
        <v/>
      </c>
    </row>
    <row r="103" spans="3:57" ht="21.75" customHeight="1" x14ac:dyDescent="0.2">
      <c r="C103" s="1" t="str">
        <f t="shared" si="76"/>
        <v>CV</v>
      </c>
      <c r="D103" s="1" t="str">
        <f t="shared" si="77"/>
        <v>combining</v>
      </c>
      <c r="I103" s="3"/>
      <c r="J103" s="10"/>
      <c r="K103" s="10"/>
      <c r="L103" s="10"/>
      <c r="M103" s="10"/>
      <c r="N103" s="4"/>
      <c r="V103" s="9" t="str">
        <f t="shared" si="61"/>
        <v>[</v>
      </c>
      <c r="Z103" t="str">
        <f t="shared" si="74"/>
        <v>[]</v>
      </c>
      <c r="AA103" s="8" t="str">
        <f t="shared" si="62"/>
        <v>[</v>
      </c>
      <c r="AB103" t="str">
        <f t="shared" si="56"/>
        <v/>
      </c>
      <c r="AC103" t="str">
        <f t="shared" si="57"/>
        <v/>
      </c>
      <c r="AD103" t="str">
        <f t="shared" si="58"/>
        <v>[]</v>
      </c>
      <c r="AE103" t="str">
        <f t="shared" si="59"/>
        <v/>
      </c>
      <c r="AF103" t="str">
        <f t="shared" si="75"/>
        <v>visual_style23</v>
      </c>
      <c r="AG103">
        <f t="shared" si="60"/>
        <v>23</v>
      </c>
      <c r="AH103" t="str">
        <f t="shared" si="72"/>
        <v/>
      </c>
      <c r="BE103" t="str">
        <f t="shared" si="73"/>
        <v/>
      </c>
    </row>
    <row r="104" spans="3:57" ht="21.75" customHeight="1" x14ac:dyDescent="0.2">
      <c r="C104" s="1" t="str">
        <f t="shared" si="76"/>
        <v>CV</v>
      </c>
      <c r="D104" s="1" t="str">
        <f t="shared" si="77"/>
        <v>combining</v>
      </c>
      <c r="I104" s="3"/>
      <c r="J104" s="10"/>
      <c r="K104" s="10"/>
      <c r="L104" s="10"/>
      <c r="M104" s="10"/>
      <c r="N104" s="4"/>
      <c r="V104" s="9" t="str">
        <f t="shared" si="61"/>
        <v>[</v>
      </c>
      <c r="Z104" t="str">
        <f t="shared" si="74"/>
        <v>[]</v>
      </c>
      <c r="AA104" s="8" t="str">
        <f t="shared" si="62"/>
        <v>[</v>
      </c>
      <c r="AB104" t="str">
        <f t="shared" si="56"/>
        <v/>
      </c>
      <c r="AC104" t="str">
        <f t="shared" si="57"/>
        <v/>
      </c>
      <c r="AD104" t="str">
        <f t="shared" si="58"/>
        <v>[]</v>
      </c>
      <c r="AE104" t="str">
        <f t="shared" si="59"/>
        <v/>
      </c>
      <c r="AF104" t="str">
        <f t="shared" si="75"/>
        <v>visual_style23</v>
      </c>
      <c r="AG104">
        <f t="shared" si="60"/>
        <v>23</v>
      </c>
      <c r="AH104" t="str">
        <f t="shared" si="72"/>
        <v/>
      </c>
      <c r="BE104" t="str">
        <f t="shared" si="73"/>
        <v/>
      </c>
    </row>
    <row r="105" spans="3:57" ht="21.75" customHeight="1" x14ac:dyDescent="0.2">
      <c r="C105" s="1" t="str">
        <f t="shared" si="76"/>
        <v>CV</v>
      </c>
      <c r="D105" s="1" t="str">
        <f t="shared" si="77"/>
        <v>combining</v>
      </c>
      <c r="I105" s="3"/>
      <c r="J105" s="10"/>
      <c r="K105" s="10"/>
      <c r="L105" s="10"/>
      <c r="M105" s="10"/>
      <c r="N105" s="4"/>
      <c r="V105" s="9" t="str">
        <f t="shared" si="61"/>
        <v>[</v>
      </c>
      <c r="Z105" t="str">
        <f t="shared" si="74"/>
        <v>[]</v>
      </c>
      <c r="AA105" s="8" t="str">
        <f t="shared" si="62"/>
        <v>[</v>
      </c>
      <c r="AB105" t="str">
        <f t="shared" si="56"/>
        <v/>
      </c>
      <c r="AC105" t="str">
        <f t="shared" si="57"/>
        <v/>
      </c>
      <c r="AD105" t="str">
        <f t="shared" si="58"/>
        <v>[]</v>
      </c>
      <c r="AE105" t="str">
        <f t="shared" si="59"/>
        <v/>
      </c>
      <c r="AF105" t="str">
        <f t="shared" si="75"/>
        <v>visual_style23</v>
      </c>
      <c r="AG105">
        <f t="shared" si="60"/>
        <v>23</v>
      </c>
      <c r="AH105" t="str">
        <f t="shared" si="72"/>
        <v/>
      </c>
      <c r="BE105" t="str">
        <f t="shared" si="73"/>
        <v/>
      </c>
    </row>
    <row r="106" spans="3:57" ht="21.75" customHeight="1" x14ac:dyDescent="0.2">
      <c r="C106" s="1" t="str">
        <f t="shared" si="76"/>
        <v>CV</v>
      </c>
      <c r="D106" s="1" t="str">
        <f t="shared" si="77"/>
        <v>combining</v>
      </c>
      <c r="I106" s="3"/>
      <c r="J106" s="10"/>
      <c r="K106" s="10"/>
      <c r="L106" s="10"/>
      <c r="M106" s="10"/>
      <c r="N106" s="4"/>
      <c r="V106" s="9" t="str">
        <f t="shared" si="61"/>
        <v>[</v>
      </c>
      <c r="Z106" t="str">
        <f t="shared" si="74"/>
        <v>[]</v>
      </c>
      <c r="AA106" s="8" t="str">
        <f t="shared" si="62"/>
        <v>[</v>
      </c>
      <c r="AB106" t="str">
        <f t="shared" si="56"/>
        <v/>
      </c>
      <c r="AC106" t="str">
        <f t="shared" si="57"/>
        <v/>
      </c>
      <c r="AD106" t="str">
        <f t="shared" si="58"/>
        <v>[]</v>
      </c>
      <c r="AE106" t="str">
        <f t="shared" si="59"/>
        <v/>
      </c>
      <c r="AF106" t="str">
        <f t="shared" si="75"/>
        <v>visual_style23</v>
      </c>
      <c r="AG106">
        <f t="shared" si="60"/>
        <v>23</v>
      </c>
      <c r="AH106" t="str">
        <f t="shared" si="72"/>
        <v/>
      </c>
      <c r="BE106" t="str">
        <f t="shared" si="73"/>
        <v/>
      </c>
    </row>
    <row r="107" spans="3:57" ht="21.75" customHeight="1" x14ac:dyDescent="0.2">
      <c r="C107" s="1" t="str">
        <f t="shared" si="76"/>
        <v>CV</v>
      </c>
      <c r="D107" s="1" t="str">
        <f t="shared" si="77"/>
        <v>combining</v>
      </c>
      <c r="I107" s="3"/>
      <c r="J107" s="10"/>
      <c r="K107" s="10"/>
      <c r="L107" s="10"/>
      <c r="M107" s="10"/>
      <c r="N107" s="4"/>
      <c r="V107" s="9" t="str">
        <f t="shared" si="61"/>
        <v>[</v>
      </c>
      <c r="Z107" t="str">
        <f t="shared" si="74"/>
        <v>[]</v>
      </c>
      <c r="AA107" s="8" t="str">
        <f t="shared" si="62"/>
        <v>[</v>
      </c>
      <c r="AB107" t="str">
        <f t="shared" si="56"/>
        <v/>
      </c>
      <c r="AC107" t="str">
        <f t="shared" si="57"/>
        <v/>
      </c>
      <c r="AD107" t="str">
        <f t="shared" si="58"/>
        <v>[]</v>
      </c>
      <c r="AE107" t="str">
        <f t="shared" si="59"/>
        <v/>
      </c>
      <c r="AF107" t="str">
        <f t="shared" si="75"/>
        <v>visual_style23</v>
      </c>
      <c r="AG107">
        <f t="shared" si="60"/>
        <v>23</v>
      </c>
      <c r="AH107" t="str">
        <f t="shared" si="72"/>
        <v/>
      </c>
      <c r="BE107" t="str">
        <f t="shared" si="73"/>
        <v/>
      </c>
    </row>
    <row r="108" spans="3:57" ht="21.75" customHeight="1" x14ac:dyDescent="0.2">
      <c r="C108" s="1" t="str">
        <f t="shared" si="76"/>
        <v>CV</v>
      </c>
      <c r="D108" s="1" t="str">
        <f t="shared" si="77"/>
        <v>combining</v>
      </c>
      <c r="I108" s="3"/>
      <c r="J108" s="10"/>
      <c r="K108" s="10"/>
      <c r="L108" s="10"/>
      <c r="M108" s="10"/>
      <c r="N108" s="4"/>
      <c r="V108" s="9" t="str">
        <f t="shared" si="61"/>
        <v>[</v>
      </c>
      <c r="Z108" t="str">
        <f t="shared" si="74"/>
        <v>[]</v>
      </c>
      <c r="AA108" s="8" t="str">
        <f t="shared" si="62"/>
        <v>[</v>
      </c>
      <c r="AB108" t="str">
        <f t="shared" si="56"/>
        <v/>
      </c>
      <c r="AC108" t="str">
        <f t="shared" si="57"/>
        <v/>
      </c>
      <c r="AD108" t="str">
        <f t="shared" si="58"/>
        <v>[]</v>
      </c>
      <c r="AE108" t="str">
        <f t="shared" si="59"/>
        <v/>
      </c>
      <c r="AF108" t="str">
        <f t="shared" si="75"/>
        <v>visual_style23</v>
      </c>
      <c r="AG108">
        <f t="shared" si="60"/>
        <v>23</v>
      </c>
      <c r="AH108" t="str">
        <f t="shared" si="72"/>
        <v/>
      </c>
      <c r="BE108" t="str">
        <f t="shared" si="73"/>
        <v/>
      </c>
    </row>
    <row r="109" spans="3:57" ht="21.75" customHeight="1" x14ac:dyDescent="0.2">
      <c r="C109" s="1" t="str">
        <f t="shared" si="76"/>
        <v>CV</v>
      </c>
      <c r="D109" s="1" t="str">
        <f t="shared" si="77"/>
        <v>combining</v>
      </c>
      <c r="I109" s="3"/>
      <c r="J109" s="10"/>
      <c r="K109" s="10"/>
      <c r="L109" s="10"/>
      <c r="M109" s="10"/>
      <c r="N109" s="4"/>
      <c r="V109" s="9" t="str">
        <f t="shared" si="61"/>
        <v>[</v>
      </c>
      <c r="Z109" t="str">
        <f t="shared" si="74"/>
        <v>[]</v>
      </c>
      <c r="AA109" s="8" t="str">
        <f t="shared" si="62"/>
        <v>[</v>
      </c>
      <c r="AB109" t="str">
        <f t="shared" si="56"/>
        <v/>
      </c>
      <c r="AC109" t="str">
        <f t="shared" si="57"/>
        <v/>
      </c>
      <c r="AD109" t="str">
        <f t="shared" si="58"/>
        <v>[]</v>
      </c>
      <c r="AE109" t="str">
        <f t="shared" si="59"/>
        <v/>
      </c>
      <c r="AF109" t="str">
        <f t="shared" si="75"/>
        <v>visual_style23</v>
      </c>
      <c r="AG109">
        <f t="shared" si="60"/>
        <v>23</v>
      </c>
      <c r="AH109" t="str">
        <f t="shared" si="72"/>
        <v/>
      </c>
      <c r="BE109" t="str">
        <f t="shared" si="73"/>
        <v/>
      </c>
    </row>
    <row r="110" spans="3:57" x14ac:dyDescent="0.2">
      <c r="I110" s="3"/>
      <c r="J110" s="10"/>
      <c r="K110" s="10"/>
      <c r="L110" s="10"/>
      <c r="M110" s="10"/>
      <c r="N110" s="4"/>
    </row>
    <row r="111" spans="3:57" x14ac:dyDescent="0.2">
      <c r="I111" s="3"/>
      <c r="J111" s="10"/>
      <c r="K111" s="10"/>
      <c r="L111" s="10"/>
      <c r="M111" s="10"/>
      <c r="N111" s="4"/>
    </row>
    <row r="112" spans="3:57" x14ac:dyDescent="0.2">
      <c r="I112" s="3"/>
      <c r="J112" s="10"/>
      <c r="K112" s="10"/>
      <c r="L112" s="10"/>
      <c r="M112" s="10"/>
      <c r="N112" s="4"/>
    </row>
    <row r="113" spans="9:14" x14ac:dyDescent="0.2">
      <c r="I113" s="3"/>
      <c r="J113" s="10"/>
      <c r="K113" s="10"/>
      <c r="L113" s="10"/>
      <c r="M113" s="10"/>
      <c r="N113" s="4"/>
    </row>
    <row r="114" spans="9:14" x14ac:dyDescent="0.2">
      <c r="I114" s="3"/>
      <c r="J114" s="10"/>
      <c r="K114" s="10"/>
      <c r="L114" s="10"/>
      <c r="M114" s="10"/>
      <c r="N114" s="4"/>
    </row>
    <row r="115" spans="9:14" x14ac:dyDescent="0.2">
      <c r="I115" s="3"/>
      <c r="J115" s="10"/>
      <c r="K115" s="10"/>
      <c r="L115" s="10"/>
      <c r="M115" s="10"/>
      <c r="N115" s="4"/>
    </row>
    <row r="116" spans="9:14" x14ac:dyDescent="0.2">
      <c r="I116" s="3"/>
      <c r="J116" s="10"/>
      <c r="K116" s="10"/>
      <c r="L116" s="10"/>
      <c r="M116" s="10"/>
      <c r="N116" s="4"/>
    </row>
    <row r="117" spans="9:14" x14ac:dyDescent="0.2">
      <c r="I117" s="3"/>
      <c r="J117" s="10"/>
      <c r="K117" s="10"/>
      <c r="L117" s="10"/>
      <c r="M117" s="10"/>
      <c r="N117" s="4"/>
    </row>
  </sheetData>
  <mergeCells count="5">
    <mergeCell ref="F1:I1"/>
    <mergeCell ref="N1:P1"/>
    <mergeCell ref="J1:M1"/>
    <mergeCell ref="Q1:S1"/>
    <mergeCell ref="BC1:B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E25" sqref="E25"/>
    </sheetView>
  </sheetViews>
  <sheetFormatPr defaultColWidth="17.140625" defaultRowHeight="12.75" customHeight="1" x14ac:dyDescent="0.2"/>
  <sheetData>
    <row r="1" spans="1:6" ht="12.75" customHeight="1" x14ac:dyDescent="0.2">
      <c r="A1" t="s">
        <v>126</v>
      </c>
    </row>
    <row r="2" spans="1:6" ht="12.75" customHeight="1" x14ac:dyDescent="0.2">
      <c r="B2" t="s">
        <v>33</v>
      </c>
      <c r="F2" t="s">
        <v>127</v>
      </c>
    </row>
    <row r="3" spans="1:6" ht="12.75" customHeight="1" x14ac:dyDescent="0.2">
      <c r="C3" t="s">
        <v>128</v>
      </c>
    </row>
    <row r="4" spans="1:6" ht="12.75" customHeight="1" x14ac:dyDescent="0.2">
      <c r="C4" t="s">
        <v>41</v>
      </c>
    </row>
    <row r="5" spans="1:6" ht="12.75" customHeight="1" x14ac:dyDescent="0.2">
      <c r="D5" t="s">
        <v>37</v>
      </c>
    </row>
    <row r="6" spans="1:6" ht="12.75" customHeight="1" x14ac:dyDescent="0.2">
      <c r="B6" t="s">
        <v>129</v>
      </c>
      <c r="F6" t="s">
        <v>130</v>
      </c>
    </row>
    <row r="7" spans="1:6" ht="12.75" customHeight="1" x14ac:dyDescent="0.2">
      <c r="C7" t="s">
        <v>131</v>
      </c>
      <c r="F7" t="s">
        <v>132</v>
      </c>
    </row>
    <row r="8" spans="1:6" ht="12.75" customHeight="1" x14ac:dyDescent="0.2">
      <c r="C8" t="s">
        <v>133</v>
      </c>
      <c r="F8" t="s">
        <v>132</v>
      </c>
    </row>
    <row r="9" spans="1:6" ht="12.75" customHeight="1" x14ac:dyDescent="0.2">
      <c r="B9" t="s">
        <v>134</v>
      </c>
    </row>
    <row r="10" spans="1:6" ht="12.75" customHeight="1" x14ac:dyDescent="0.2">
      <c r="C10" t="s">
        <v>131</v>
      </c>
      <c r="F10" t="s">
        <v>132</v>
      </c>
    </row>
    <row r="11" spans="1:6" ht="12.75" customHeight="1" x14ac:dyDescent="0.2">
      <c r="C11" t="s">
        <v>133</v>
      </c>
      <c r="F11" t="s">
        <v>132</v>
      </c>
    </row>
    <row r="12" spans="1:6" ht="12.75" customHeight="1" x14ac:dyDescent="0.2">
      <c r="D12" t="s">
        <v>135</v>
      </c>
    </row>
    <row r="13" spans="1:6" ht="12.75" customHeight="1" x14ac:dyDescent="0.2">
      <c r="A13" t="s">
        <v>136</v>
      </c>
    </row>
    <row r="14" spans="1:6" ht="12.75" customHeight="1" x14ac:dyDescent="0.2">
      <c r="B14" t="s">
        <v>137</v>
      </c>
    </row>
    <row r="15" spans="1:6" ht="12.75" customHeight="1" x14ac:dyDescent="0.2">
      <c r="B15" t="s">
        <v>138</v>
      </c>
    </row>
    <row r="16" spans="1:6" ht="12.75" customHeight="1" x14ac:dyDescent="0.2">
      <c r="B16" t="s">
        <v>98</v>
      </c>
    </row>
    <row r="17" spans="1:6" ht="12.75" customHeight="1" x14ac:dyDescent="0.2">
      <c r="B17" t="s">
        <v>139</v>
      </c>
    </row>
    <row r="18" spans="1:6" ht="12.75" customHeight="1" x14ac:dyDescent="0.2">
      <c r="B18" t="s">
        <v>100</v>
      </c>
    </row>
    <row r="19" spans="1:6" ht="12.75" customHeight="1" x14ac:dyDescent="0.2">
      <c r="B19" t="s">
        <v>140</v>
      </c>
    </row>
    <row r="20" spans="1:6" ht="12.75" customHeight="1" x14ac:dyDescent="0.2">
      <c r="C20" t="s">
        <v>141</v>
      </c>
    </row>
    <row r="21" spans="1:6" ht="12.75" customHeight="1" x14ac:dyDescent="0.2">
      <c r="C21" t="s">
        <v>142</v>
      </c>
    </row>
    <row r="22" spans="1:6" ht="12.75" customHeight="1" x14ac:dyDescent="0.2">
      <c r="B22" t="s">
        <v>143</v>
      </c>
    </row>
    <row r="23" spans="1:6" ht="12.75" customHeight="1" x14ac:dyDescent="0.2">
      <c r="B23" t="s">
        <v>74</v>
      </c>
      <c r="F23" t="s">
        <v>144</v>
      </c>
    </row>
    <row r="24" spans="1:6" ht="12.75" customHeight="1" x14ac:dyDescent="0.2">
      <c r="A24" t="s">
        <v>76</v>
      </c>
      <c r="B24" t="s">
        <v>130</v>
      </c>
    </row>
    <row r="25" spans="1:6" ht="12.75" customHeight="1" x14ac:dyDescent="0.2">
      <c r="B25" t="s">
        <v>163</v>
      </c>
    </row>
    <row r="26" spans="1:6" ht="12.75" customHeight="1" x14ac:dyDescent="0.2">
      <c r="B26" t="s">
        <v>145</v>
      </c>
    </row>
    <row r="27" spans="1:6" x14ac:dyDescent="0.2">
      <c r="A27" t="s">
        <v>43</v>
      </c>
    </row>
    <row r="28" spans="1:6" x14ac:dyDescent="0.2">
      <c r="B28" t="s">
        <v>146</v>
      </c>
    </row>
    <row r="29" spans="1:6" x14ac:dyDescent="0.2">
      <c r="C29" t="s">
        <v>147</v>
      </c>
    </row>
    <row r="30" spans="1:6" x14ac:dyDescent="0.2">
      <c r="C30" t="s">
        <v>148</v>
      </c>
    </row>
    <row r="31" spans="1:6" x14ac:dyDescent="0.2">
      <c r="C31" t="s">
        <v>149</v>
      </c>
    </row>
    <row r="32" spans="1:6" ht="25.5" x14ac:dyDescent="0.2">
      <c r="B32" t="s">
        <v>150</v>
      </c>
      <c r="F3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16" workbookViewId="0">
      <selection activeCell="H28" sqref="H28"/>
    </sheetView>
  </sheetViews>
  <sheetFormatPr defaultRowHeight="12.75" x14ac:dyDescent="0.2"/>
  <cols>
    <col min="1" max="1" width="11.28515625" customWidth="1"/>
    <col min="2" max="2" width="36.140625" customWidth="1"/>
    <col min="4" max="4" width="13.42578125" customWidth="1"/>
    <col min="6" max="6" width="39.5703125" customWidth="1"/>
    <col min="9" max="9" width="14.85546875" customWidth="1"/>
  </cols>
  <sheetData>
    <row r="1" spans="1:11" x14ac:dyDescent="0.2">
      <c r="A1" t="s">
        <v>176</v>
      </c>
      <c r="G1" t="s">
        <v>245</v>
      </c>
      <c r="H1" t="s">
        <v>246</v>
      </c>
      <c r="I1" t="s">
        <v>105</v>
      </c>
      <c r="J1" t="s">
        <v>247</v>
      </c>
      <c r="K1" t="s">
        <v>250</v>
      </c>
    </row>
    <row r="2" spans="1:11" x14ac:dyDescent="0.2">
      <c r="A2" s="13" t="s">
        <v>176</v>
      </c>
      <c r="B2" t="s">
        <v>177</v>
      </c>
      <c r="D2" t="s">
        <v>210</v>
      </c>
      <c r="F2" t="s">
        <v>249</v>
      </c>
      <c r="H2" t="s">
        <v>248</v>
      </c>
    </row>
    <row r="3" spans="1:11" x14ac:dyDescent="0.2">
      <c r="A3" s="13" t="s">
        <v>176</v>
      </c>
      <c r="B3" t="s">
        <v>175</v>
      </c>
      <c r="F3" t="s">
        <v>238</v>
      </c>
      <c r="J3" t="s">
        <v>248</v>
      </c>
    </row>
    <row r="4" spans="1:11" x14ac:dyDescent="0.2">
      <c r="A4" s="13" t="s">
        <v>176</v>
      </c>
      <c r="B4" t="s">
        <v>178</v>
      </c>
      <c r="F4" t="s">
        <v>239</v>
      </c>
      <c r="K4" t="s">
        <v>251</v>
      </c>
    </row>
    <row r="5" spans="1:11" ht="25.5" x14ac:dyDescent="0.2">
      <c r="A5" s="13" t="s">
        <v>176</v>
      </c>
      <c r="B5" t="s">
        <v>211</v>
      </c>
      <c r="D5" t="s">
        <v>212</v>
      </c>
      <c r="F5" t="s">
        <v>240</v>
      </c>
    </row>
    <row r="6" spans="1:11" s="12" customFormat="1" x14ac:dyDescent="0.2">
      <c r="A6" s="12" t="s">
        <v>179</v>
      </c>
      <c r="B6" s="12" t="s">
        <v>180</v>
      </c>
      <c r="F6" s="12" t="s">
        <v>241</v>
      </c>
      <c r="I6" s="12" t="s">
        <v>252</v>
      </c>
    </row>
    <row r="7" spans="1:11" s="12" customFormat="1" x14ac:dyDescent="0.2">
      <c r="A7" s="12" t="s">
        <v>179</v>
      </c>
      <c r="B7" s="12" t="s">
        <v>181</v>
      </c>
      <c r="F7" s="12" t="s">
        <v>241</v>
      </c>
      <c r="I7" s="12" t="s">
        <v>252</v>
      </c>
    </row>
    <row r="8" spans="1:11" s="12" customFormat="1" x14ac:dyDescent="0.2">
      <c r="A8" s="12" t="s">
        <v>179</v>
      </c>
      <c r="B8" s="12" t="s">
        <v>182</v>
      </c>
      <c r="F8" s="12" t="s">
        <v>241</v>
      </c>
      <c r="I8" s="12" t="s">
        <v>252</v>
      </c>
    </row>
    <row r="9" spans="1:11" s="12" customFormat="1" x14ac:dyDescent="0.2">
      <c r="A9" s="12" t="s">
        <v>179</v>
      </c>
      <c r="B9" s="12" t="s">
        <v>191</v>
      </c>
      <c r="F9" s="12" t="s">
        <v>241</v>
      </c>
      <c r="I9" s="12" t="s">
        <v>252</v>
      </c>
    </row>
    <row r="10" spans="1:11" x14ac:dyDescent="0.2">
      <c r="A10" t="s">
        <v>183</v>
      </c>
      <c r="B10" t="s">
        <v>183</v>
      </c>
      <c r="G10" t="s">
        <v>248</v>
      </c>
    </row>
    <row r="11" spans="1:11" x14ac:dyDescent="0.2">
      <c r="A11" t="s">
        <v>183</v>
      </c>
      <c r="B11" t="s">
        <v>242</v>
      </c>
      <c r="G11" t="s">
        <v>253</v>
      </c>
    </row>
    <row r="12" spans="1:11" x14ac:dyDescent="0.2">
      <c r="A12" t="s">
        <v>183</v>
      </c>
      <c r="B12" t="s">
        <v>243</v>
      </c>
      <c r="F12" s="13" t="s">
        <v>261</v>
      </c>
    </row>
    <row r="13" spans="1:11" x14ac:dyDescent="0.2">
      <c r="A13" t="s">
        <v>183</v>
      </c>
      <c r="B13" t="s">
        <v>185</v>
      </c>
      <c r="F13" s="13" t="s">
        <v>254</v>
      </c>
      <c r="K13" s="13"/>
    </row>
    <row r="14" spans="1:11" x14ac:dyDescent="0.2">
      <c r="A14" t="s">
        <v>183</v>
      </c>
      <c r="B14" t="s">
        <v>186</v>
      </c>
      <c r="K14" s="13" t="s">
        <v>255</v>
      </c>
    </row>
    <row r="15" spans="1:11" x14ac:dyDescent="0.2">
      <c r="A15" t="s">
        <v>183</v>
      </c>
      <c r="B15" t="s">
        <v>187</v>
      </c>
      <c r="K15" s="13" t="s">
        <v>256</v>
      </c>
    </row>
    <row r="16" spans="1:11" x14ac:dyDescent="0.2">
      <c r="A16" t="s">
        <v>183</v>
      </c>
      <c r="B16" t="s">
        <v>188</v>
      </c>
      <c r="K16" s="13" t="s">
        <v>257</v>
      </c>
    </row>
    <row r="17" spans="1:11" x14ac:dyDescent="0.2">
      <c r="A17" t="s">
        <v>189</v>
      </c>
      <c r="B17" t="s">
        <v>189</v>
      </c>
      <c r="K17" s="13" t="s">
        <v>258</v>
      </c>
    </row>
    <row r="18" spans="1:11" x14ac:dyDescent="0.2">
      <c r="A18" t="s">
        <v>189</v>
      </c>
      <c r="B18" t="s">
        <v>190</v>
      </c>
      <c r="K18" s="13" t="s">
        <v>259</v>
      </c>
    </row>
    <row r="19" spans="1:11" x14ac:dyDescent="0.2">
      <c r="A19" t="s">
        <v>182</v>
      </c>
      <c r="B19" t="s">
        <v>192</v>
      </c>
      <c r="I19" s="13" t="s">
        <v>260</v>
      </c>
    </row>
    <row r="20" spans="1:11" x14ac:dyDescent="0.2">
      <c r="A20" t="s">
        <v>182</v>
      </c>
      <c r="B20" t="s">
        <v>193</v>
      </c>
      <c r="I20" s="13" t="s">
        <v>260</v>
      </c>
    </row>
    <row r="21" spans="1:11" x14ac:dyDescent="0.2">
      <c r="A21" t="s">
        <v>182</v>
      </c>
      <c r="B21" t="s">
        <v>194</v>
      </c>
    </row>
    <row r="22" spans="1:11" x14ac:dyDescent="0.2">
      <c r="A22" t="s">
        <v>182</v>
      </c>
      <c r="B22" t="s">
        <v>195</v>
      </c>
    </row>
    <row r="23" spans="1:11" x14ac:dyDescent="0.2">
      <c r="A23" t="s">
        <v>182</v>
      </c>
      <c r="B23" t="s">
        <v>196</v>
      </c>
    </row>
    <row r="24" spans="1:11" x14ac:dyDescent="0.2">
      <c r="A24" t="s">
        <v>182</v>
      </c>
      <c r="B24" t="s">
        <v>204</v>
      </c>
    </row>
    <row r="25" spans="1:11" x14ac:dyDescent="0.2">
      <c r="A25" t="s">
        <v>197</v>
      </c>
      <c r="B25" t="s">
        <v>198</v>
      </c>
    </row>
    <row r="26" spans="1:11" ht="25.5" x14ac:dyDescent="0.2">
      <c r="A26" t="s">
        <v>184</v>
      </c>
      <c r="B26" t="s">
        <v>199</v>
      </c>
    </row>
    <row r="27" spans="1:11" x14ac:dyDescent="0.2">
      <c r="A27" t="s">
        <v>184</v>
      </c>
      <c r="B27" t="s">
        <v>200</v>
      </c>
    </row>
    <row r="28" spans="1:11" x14ac:dyDescent="0.2">
      <c r="A28" t="s">
        <v>215</v>
      </c>
    </row>
    <row r="29" spans="1:11" ht="25.5" x14ac:dyDescent="0.2">
      <c r="B29" t="s">
        <v>213</v>
      </c>
      <c r="F29" t="s">
        <v>244</v>
      </c>
    </row>
    <row r="30" spans="1:11" x14ac:dyDescent="0.2">
      <c r="B30" t="s">
        <v>214</v>
      </c>
    </row>
    <row r="32" spans="1:11" x14ac:dyDescent="0.2">
      <c r="A32" t="s">
        <v>201</v>
      </c>
    </row>
    <row r="33" spans="1:2" x14ac:dyDescent="0.2">
      <c r="B33" t="s">
        <v>202</v>
      </c>
    </row>
    <row r="34" spans="1:2" x14ac:dyDescent="0.2">
      <c r="B34" t="s">
        <v>203</v>
      </c>
    </row>
    <row r="38" spans="1:2" x14ac:dyDescent="0.2">
      <c r="A38" t="s">
        <v>205</v>
      </c>
    </row>
    <row r="39" spans="1:2" x14ac:dyDescent="0.2">
      <c r="B39" t="s">
        <v>206</v>
      </c>
    </row>
    <row r="40" spans="1:2" x14ac:dyDescent="0.2">
      <c r="B40" t="s">
        <v>207</v>
      </c>
    </row>
    <row r="41" spans="1:2" x14ac:dyDescent="0.2">
      <c r="A41" t="s">
        <v>208</v>
      </c>
    </row>
    <row r="42" spans="1:2" x14ac:dyDescent="0.2">
      <c r="B42" t="s">
        <v>209</v>
      </c>
    </row>
    <row r="43" spans="1:2" ht="25.5" x14ac:dyDescent="0.2">
      <c r="B43" t="s">
        <v>216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7"/>
  <sheetViews>
    <sheetView topLeftCell="C1" zoomScaleNormal="100" workbookViewId="0">
      <pane xSplit="7050" ySplit="540" topLeftCell="W1" activePane="bottomRight"/>
      <selection activeCell="C1" sqref="A1:XFD1048576"/>
      <selection pane="topRight" activeCell="AD1" sqref="AD1:AD1048576"/>
      <selection pane="bottomLeft" activeCell="O1" sqref="O1"/>
      <selection pane="bottomRight" activeCell="Y2" sqref="Y2"/>
    </sheetView>
  </sheetViews>
  <sheetFormatPr defaultColWidth="17.140625" defaultRowHeight="12.75" customHeight="1" x14ac:dyDescent="0.2"/>
  <cols>
    <col min="1" max="3" width="17.140625" style="14"/>
    <col min="4" max="4" width="8.5703125" style="16" customWidth="1"/>
    <col min="5" max="7" width="8.5703125" style="14" customWidth="1"/>
    <col min="8" max="8" width="12" style="14" bestFit="1" customWidth="1"/>
    <col min="9" max="9" width="9.7109375" style="14" customWidth="1"/>
    <col min="10" max="10" width="9.28515625" style="14" customWidth="1"/>
    <col min="11" max="11" width="10" style="14" customWidth="1"/>
    <col min="12" max="13" width="5.85546875" style="14" customWidth="1"/>
    <col min="14" max="14" width="5.85546875" style="17" customWidth="1"/>
    <col min="15" max="15" width="13.28515625" style="14" customWidth="1"/>
    <col min="16" max="17" width="10.7109375" style="14" customWidth="1"/>
    <col min="18" max="18" width="46.140625" style="15" customWidth="1"/>
    <col min="19" max="19" width="25.7109375" style="14" customWidth="1"/>
    <col min="20" max="20" width="17.140625" style="14"/>
    <col min="21" max="21" width="23.7109375" style="14" customWidth="1"/>
    <col min="22" max="22" width="87.7109375" style="14" customWidth="1"/>
    <col min="23" max="26" width="17.140625" style="14"/>
    <col min="27" max="27" width="21.28515625" style="14" customWidth="1"/>
    <col min="28" max="16384" width="17.140625" style="14"/>
  </cols>
  <sheetData>
    <row r="1" spans="1:29" ht="14.25" customHeight="1" x14ac:dyDescent="0.2">
      <c r="A1" s="14" t="s">
        <v>0</v>
      </c>
      <c r="C1" s="14" t="s">
        <v>295</v>
      </c>
      <c r="D1" s="25" t="s">
        <v>1</v>
      </c>
      <c r="E1" s="25"/>
      <c r="F1" s="25"/>
      <c r="G1" s="25"/>
      <c r="H1" s="25" t="s">
        <v>156</v>
      </c>
      <c r="I1" s="25"/>
      <c r="J1" s="25"/>
      <c r="K1" s="25"/>
      <c r="L1" s="25" t="s">
        <v>2</v>
      </c>
      <c r="M1" s="25"/>
      <c r="N1" s="25"/>
      <c r="O1" s="25" t="s">
        <v>157</v>
      </c>
      <c r="P1" s="25"/>
      <c r="Q1" s="25"/>
      <c r="R1" s="15" t="s">
        <v>3</v>
      </c>
      <c r="S1" s="14" t="s">
        <v>4</v>
      </c>
      <c r="U1" s="14" t="s">
        <v>165</v>
      </c>
      <c r="V1" s="14" t="s">
        <v>166</v>
      </c>
      <c r="W1" s="14" t="s">
        <v>168</v>
      </c>
      <c r="X1" s="14" t="s">
        <v>218</v>
      </c>
      <c r="Y1" s="14" t="s">
        <v>227</v>
      </c>
      <c r="Z1" s="14" t="s">
        <v>228</v>
      </c>
      <c r="AA1" s="14" t="s">
        <v>262</v>
      </c>
      <c r="AB1" s="25" t="s">
        <v>271</v>
      </c>
      <c r="AC1" s="25"/>
    </row>
    <row r="2" spans="1:29" ht="14.25" customHeight="1" x14ac:dyDescent="0.2">
      <c r="A2" s="14" t="s">
        <v>5</v>
      </c>
      <c r="G2" s="17"/>
      <c r="H2" s="18"/>
      <c r="I2" s="18"/>
      <c r="J2" s="18"/>
      <c r="K2" s="18"/>
      <c r="L2" s="16"/>
    </row>
    <row r="3" spans="1:29" ht="14.25" customHeight="1" x14ac:dyDescent="0.2">
      <c r="C3" s="14" t="s">
        <v>6</v>
      </c>
      <c r="D3" s="16" t="s">
        <v>7</v>
      </c>
      <c r="E3" s="14" t="s">
        <v>8</v>
      </c>
      <c r="F3" s="14" t="s">
        <v>9</v>
      </c>
      <c r="G3" s="17"/>
      <c r="H3" s="18" t="s">
        <v>33</v>
      </c>
      <c r="I3" s="18" t="s">
        <v>161</v>
      </c>
      <c r="J3" s="18" t="s">
        <v>161</v>
      </c>
      <c r="K3" s="18"/>
      <c r="L3" s="16" t="s">
        <v>10</v>
      </c>
      <c r="O3" s="14" t="s">
        <v>161</v>
      </c>
      <c r="R3" s="15" t="s">
        <v>11</v>
      </c>
      <c r="V3" s="14" t="s">
        <v>170</v>
      </c>
      <c r="Y3" s="14">
        <v>1</v>
      </c>
      <c r="Z3" s="14">
        <v>1</v>
      </c>
      <c r="AA3" s="14" t="s">
        <v>288</v>
      </c>
      <c r="AB3" s="14">
        <v>22</v>
      </c>
      <c r="AC3" s="14">
        <v>0</v>
      </c>
    </row>
    <row r="4" spans="1:29" ht="14.25" customHeight="1" x14ac:dyDescent="0.2">
      <c r="C4" s="14" t="s">
        <v>12</v>
      </c>
      <c r="D4" s="16" t="s">
        <v>7</v>
      </c>
      <c r="E4" s="14" t="s">
        <v>8</v>
      </c>
      <c r="F4" s="14" t="s">
        <v>9</v>
      </c>
      <c r="G4" s="17"/>
      <c r="H4" s="18" t="s">
        <v>162</v>
      </c>
      <c r="I4" s="18" t="s">
        <v>161</v>
      </c>
      <c r="J4" s="18" t="s">
        <v>161</v>
      </c>
      <c r="K4" s="18"/>
      <c r="L4" s="16" t="s">
        <v>10</v>
      </c>
      <c r="O4" s="14" t="s">
        <v>161</v>
      </c>
      <c r="R4" s="15" t="s">
        <v>13</v>
      </c>
      <c r="V4" s="14" t="s">
        <v>167</v>
      </c>
      <c r="Y4" s="14">
        <v>1</v>
      </c>
      <c r="Z4" s="14">
        <v>1</v>
      </c>
      <c r="AA4" s="14" t="s">
        <v>289</v>
      </c>
      <c r="AB4" s="14">
        <v>22</v>
      </c>
      <c r="AC4" s="14">
        <v>1</v>
      </c>
    </row>
    <row r="5" spans="1:29" ht="14.25" customHeight="1" x14ac:dyDescent="0.2">
      <c r="C5" s="14" t="s">
        <v>14</v>
      </c>
      <c r="D5" s="16" t="s">
        <v>15</v>
      </c>
      <c r="E5" s="14" t="s">
        <v>16</v>
      </c>
      <c r="G5" s="17"/>
      <c r="H5" s="18" t="s">
        <v>34</v>
      </c>
      <c r="I5" s="18" t="s">
        <v>34</v>
      </c>
      <c r="J5" s="18"/>
      <c r="K5" s="18"/>
      <c r="L5" s="16" t="s">
        <v>10</v>
      </c>
      <c r="O5" s="14" t="s">
        <v>128</v>
      </c>
      <c r="R5" s="15" t="s">
        <v>17</v>
      </c>
      <c r="U5" s="14">
        <v>1</v>
      </c>
      <c r="AA5" s="14" t="s">
        <v>272</v>
      </c>
      <c r="AB5" s="14">
        <v>22</v>
      </c>
      <c r="AC5" s="14">
        <v>2</v>
      </c>
    </row>
    <row r="6" spans="1:29" ht="14.25" customHeight="1" x14ac:dyDescent="0.2">
      <c r="A6" s="14" t="s">
        <v>18</v>
      </c>
      <c r="G6" s="17"/>
      <c r="H6" s="18"/>
      <c r="I6" s="18"/>
      <c r="J6" s="18"/>
      <c r="K6" s="18"/>
      <c r="L6" s="16"/>
    </row>
    <row r="7" spans="1:29" ht="14.25" customHeight="1" x14ac:dyDescent="0.2">
      <c r="C7" s="14" t="s">
        <v>19</v>
      </c>
      <c r="D7" s="16" t="s">
        <v>8</v>
      </c>
      <c r="E7" s="14" t="s">
        <v>20</v>
      </c>
      <c r="G7" s="17"/>
      <c r="H7" s="18" t="s">
        <v>161</v>
      </c>
      <c r="I7" s="18" t="s">
        <v>161</v>
      </c>
      <c r="J7" s="18"/>
      <c r="K7" s="18"/>
      <c r="L7" s="16" t="s">
        <v>10</v>
      </c>
      <c r="O7" s="14" t="s">
        <v>161</v>
      </c>
      <c r="R7" s="15" t="s">
        <v>21</v>
      </c>
      <c r="U7" s="14">
        <v>1</v>
      </c>
      <c r="Y7" s="14">
        <v>1</v>
      </c>
      <c r="Z7" s="14">
        <v>1</v>
      </c>
      <c r="AA7" s="14" t="s">
        <v>290</v>
      </c>
      <c r="AB7" s="14">
        <v>22</v>
      </c>
      <c r="AC7" s="14">
        <v>3</v>
      </c>
    </row>
    <row r="8" spans="1:29" ht="14.25" customHeight="1" x14ac:dyDescent="0.2">
      <c r="C8" s="14" t="s">
        <v>22</v>
      </c>
      <c r="G8" s="17"/>
      <c r="H8" s="18"/>
      <c r="I8" s="18"/>
      <c r="J8" s="18"/>
      <c r="K8" s="18"/>
      <c r="L8" s="16" t="s">
        <v>10</v>
      </c>
      <c r="O8" s="14" t="s">
        <v>161</v>
      </c>
      <c r="R8" s="15" t="s">
        <v>23</v>
      </c>
      <c r="S8" s="14" t="s">
        <v>24</v>
      </c>
      <c r="W8" s="14">
        <v>1</v>
      </c>
      <c r="Y8" s="14">
        <v>1</v>
      </c>
      <c r="Z8" s="14">
        <v>1</v>
      </c>
      <c r="AA8" s="14" t="s">
        <v>291</v>
      </c>
      <c r="AB8" s="14">
        <v>22</v>
      </c>
      <c r="AC8" s="14">
        <v>4</v>
      </c>
    </row>
    <row r="9" spans="1:29" ht="14.25" customHeight="1" x14ac:dyDescent="0.2">
      <c r="C9" s="14" t="s">
        <v>25</v>
      </c>
      <c r="D9" s="16" t="s">
        <v>8</v>
      </c>
      <c r="G9" s="17"/>
      <c r="H9" s="18" t="s">
        <v>161</v>
      </c>
      <c r="I9" s="18"/>
      <c r="J9" s="18"/>
      <c r="K9" s="18"/>
      <c r="L9" s="16"/>
      <c r="R9" s="15" t="s">
        <v>23</v>
      </c>
      <c r="S9" s="14" t="s">
        <v>24</v>
      </c>
      <c r="W9" s="14">
        <v>1</v>
      </c>
      <c r="Y9" s="14">
        <v>1</v>
      </c>
      <c r="Z9" s="14">
        <v>1</v>
      </c>
      <c r="AA9" s="14" t="s">
        <v>292</v>
      </c>
      <c r="AB9" s="14">
        <v>22</v>
      </c>
      <c r="AC9" s="14">
        <v>5</v>
      </c>
    </row>
    <row r="10" spans="1:29" ht="14.25" customHeight="1" x14ac:dyDescent="0.2">
      <c r="A10" s="14" t="s">
        <v>26</v>
      </c>
      <c r="G10" s="17"/>
      <c r="H10" s="18"/>
      <c r="I10" s="18"/>
      <c r="J10" s="18"/>
      <c r="K10" s="18"/>
      <c r="L10" s="16"/>
    </row>
    <row r="11" spans="1:29" ht="14.25" customHeight="1" x14ac:dyDescent="0.2">
      <c r="C11" s="14" t="s">
        <v>27</v>
      </c>
      <c r="D11" s="16" t="s">
        <v>8</v>
      </c>
      <c r="E11" s="14" t="s">
        <v>9</v>
      </c>
      <c r="F11" s="14" t="s">
        <v>158</v>
      </c>
      <c r="G11" s="17" t="s">
        <v>159</v>
      </c>
      <c r="H11" s="18" t="s">
        <v>33</v>
      </c>
      <c r="I11" s="18" t="s">
        <v>33</v>
      </c>
      <c r="J11" s="18" t="s">
        <v>33</v>
      </c>
      <c r="K11" s="18" t="s">
        <v>33</v>
      </c>
      <c r="L11" s="16" t="s">
        <v>10</v>
      </c>
      <c r="O11" s="14" t="s">
        <v>161</v>
      </c>
      <c r="R11" s="15" t="s">
        <v>28</v>
      </c>
      <c r="U11" s="14">
        <v>1</v>
      </c>
      <c r="Y11" s="14">
        <v>2</v>
      </c>
      <c r="Z11" s="14">
        <v>1</v>
      </c>
      <c r="AA11" s="14" t="s">
        <v>293</v>
      </c>
      <c r="AB11" s="14">
        <v>23</v>
      </c>
      <c r="AC11" s="14">
        <v>0</v>
      </c>
    </row>
    <row r="12" spans="1:29" ht="14.25" customHeight="1" x14ac:dyDescent="0.2">
      <c r="A12" s="14" t="s">
        <v>29</v>
      </c>
      <c r="G12" s="17"/>
      <c r="H12" s="18"/>
      <c r="I12" s="18"/>
      <c r="J12" s="18"/>
      <c r="K12" s="18"/>
      <c r="L12" s="16"/>
    </row>
    <row r="13" spans="1:29" ht="14.25" customHeight="1" x14ac:dyDescent="0.2">
      <c r="C13" s="14" t="s">
        <v>30</v>
      </c>
      <c r="D13" s="16" t="s">
        <v>8</v>
      </c>
      <c r="G13" s="17"/>
      <c r="H13" s="18" t="s">
        <v>161</v>
      </c>
      <c r="I13" s="18"/>
      <c r="J13" s="18"/>
      <c r="K13" s="18"/>
      <c r="L13" s="16" t="s">
        <v>10</v>
      </c>
      <c r="O13" s="14" t="s">
        <v>161</v>
      </c>
      <c r="R13" s="15" t="s">
        <v>31</v>
      </c>
      <c r="U13" s="14">
        <v>1</v>
      </c>
      <c r="Y13" s="14">
        <v>1</v>
      </c>
      <c r="Z13" s="14">
        <v>1</v>
      </c>
      <c r="AA13" s="14" t="s">
        <v>294</v>
      </c>
      <c r="AB13" s="14">
        <v>23</v>
      </c>
      <c r="AC13" s="14">
        <v>1</v>
      </c>
    </row>
    <row r="14" spans="1:29" ht="14.25" customHeight="1" x14ac:dyDescent="0.2">
      <c r="A14" s="14" t="s">
        <v>32</v>
      </c>
      <c r="G14" s="17"/>
      <c r="H14" s="18"/>
      <c r="I14" s="18"/>
      <c r="J14" s="18"/>
      <c r="K14" s="18"/>
      <c r="L14" s="16"/>
    </row>
    <row r="15" spans="1:29" ht="14.25" customHeight="1" x14ac:dyDescent="0.2">
      <c r="B15" s="14" t="s">
        <v>33</v>
      </c>
      <c r="G15" s="17"/>
      <c r="H15" s="18"/>
      <c r="I15" s="18"/>
      <c r="J15" s="18"/>
      <c r="K15" s="18"/>
      <c r="L15" s="16"/>
    </row>
    <row r="16" spans="1:29" ht="14.25" customHeight="1" x14ac:dyDescent="0.2">
      <c r="C16" s="14" t="s">
        <v>34</v>
      </c>
      <c r="G16" s="17"/>
      <c r="H16" s="18"/>
      <c r="I16" s="18"/>
      <c r="J16" s="18"/>
      <c r="K16" s="18"/>
      <c r="L16" s="16" t="s">
        <v>10</v>
      </c>
      <c r="O16" s="14" t="s">
        <v>34</v>
      </c>
      <c r="R16" s="15" t="s">
        <v>35</v>
      </c>
      <c r="S16" s="14" t="s">
        <v>36</v>
      </c>
      <c r="U16" s="14">
        <v>1</v>
      </c>
      <c r="Y16" s="14">
        <v>1</v>
      </c>
      <c r="Z16" s="14">
        <v>1</v>
      </c>
      <c r="AA16" s="14" t="s">
        <v>272</v>
      </c>
      <c r="AB16" s="14">
        <v>21</v>
      </c>
      <c r="AC16" s="14">
        <v>0</v>
      </c>
    </row>
    <row r="17" spans="2:29" ht="14.25" customHeight="1" x14ac:dyDescent="0.2">
      <c r="C17" s="14" t="s">
        <v>37</v>
      </c>
      <c r="G17" s="17"/>
      <c r="H17" s="18"/>
      <c r="I17" s="18"/>
      <c r="J17" s="18"/>
      <c r="K17" s="18"/>
      <c r="L17" s="16" t="s">
        <v>10</v>
      </c>
      <c r="O17" s="14" t="s">
        <v>37</v>
      </c>
      <c r="R17" s="15" t="s">
        <v>38</v>
      </c>
      <c r="S17" s="14" t="s">
        <v>39</v>
      </c>
      <c r="U17" s="14">
        <v>1</v>
      </c>
      <c r="Y17" s="14">
        <v>1</v>
      </c>
      <c r="Z17" s="14">
        <v>1</v>
      </c>
      <c r="AA17" s="14" t="s">
        <v>273</v>
      </c>
      <c r="AB17" s="14">
        <v>21</v>
      </c>
      <c r="AC17" s="14">
        <f>AC16+1</f>
        <v>1</v>
      </c>
    </row>
    <row r="18" spans="2:29" ht="14.25" customHeight="1" x14ac:dyDescent="0.2">
      <c r="C18" s="14" t="s">
        <v>40</v>
      </c>
      <c r="G18" s="17"/>
      <c r="H18" s="18"/>
      <c r="I18" s="18"/>
      <c r="J18" s="18"/>
      <c r="K18" s="18"/>
      <c r="L18" s="16" t="s">
        <v>10</v>
      </c>
      <c r="O18" s="14" t="s">
        <v>41</v>
      </c>
      <c r="R18" s="15" t="s">
        <v>160</v>
      </c>
      <c r="S18" s="14" t="s">
        <v>42</v>
      </c>
      <c r="U18" s="14">
        <v>1</v>
      </c>
      <c r="Y18" s="14">
        <v>1</v>
      </c>
      <c r="Z18" s="14">
        <v>1</v>
      </c>
      <c r="AA18" s="14" t="s">
        <v>274</v>
      </c>
      <c r="AB18" s="14">
        <v>21</v>
      </c>
      <c r="AC18" s="14">
        <f>AC17+1</f>
        <v>2</v>
      </c>
    </row>
    <row r="19" spans="2:29" ht="14.25" customHeight="1" x14ac:dyDescent="0.2">
      <c r="B19" s="14" t="s">
        <v>43</v>
      </c>
      <c r="G19" s="17"/>
      <c r="H19" s="18"/>
      <c r="I19" s="18"/>
      <c r="J19" s="18"/>
      <c r="K19" s="18"/>
      <c r="L19" s="16"/>
    </row>
    <row r="20" spans="2:29" ht="14.25" customHeight="1" x14ac:dyDescent="0.2">
      <c r="C20" s="14" t="s">
        <v>44</v>
      </c>
      <c r="G20" s="17"/>
      <c r="H20" s="18"/>
      <c r="I20" s="18"/>
      <c r="J20" s="18"/>
      <c r="K20" s="18"/>
      <c r="L20" s="16" t="s">
        <v>10</v>
      </c>
      <c r="O20" s="14" t="s">
        <v>146</v>
      </c>
      <c r="R20" s="15" t="s">
        <v>45</v>
      </c>
      <c r="U20" s="14">
        <v>1</v>
      </c>
      <c r="Y20" s="14">
        <v>1</v>
      </c>
      <c r="Z20" s="14">
        <v>1</v>
      </c>
      <c r="AA20" s="14" t="s">
        <v>275</v>
      </c>
      <c r="AB20" s="14">
        <v>21</v>
      </c>
      <c r="AC20" s="14">
        <v>3</v>
      </c>
    </row>
    <row r="21" spans="2:29" ht="14.25" customHeight="1" x14ac:dyDescent="0.2">
      <c r="C21" s="14" t="s">
        <v>46</v>
      </c>
      <c r="D21" s="16" t="s">
        <v>8</v>
      </c>
      <c r="G21" s="17"/>
      <c r="H21" s="18" t="s">
        <v>146</v>
      </c>
      <c r="I21" s="18"/>
      <c r="J21" s="18"/>
      <c r="K21" s="18"/>
      <c r="L21" s="16"/>
      <c r="R21" s="15" t="s">
        <v>47</v>
      </c>
      <c r="S21" s="14" t="s">
        <v>48</v>
      </c>
      <c r="U21" s="14">
        <v>1</v>
      </c>
      <c r="Y21" s="14">
        <v>1</v>
      </c>
      <c r="Z21" s="14">
        <v>1</v>
      </c>
      <c r="AA21" s="14" t="s">
        <v>276</v>
      </c>
      <c r="AB21" s="14">
        <v>21</v>
      </c>
      <c r="AC21" s="14">
        <v>4</v>
      </c>
    </row>
    <row r="22" spans="2:29" ht="14.25" customHeight="1" x14ac:dyDescent="0.2">
      <c r="B22" s="14" t="s">
        <v>49</v>
      </c>
      <c r="G22" s="17"/>
      <c r="H22" s="18"/>
      <c r="I22" s="18"/>
      <c r="J22" s="18"/>
      <c r="K22" s="18"/>
      <c r="L22" s="16"/>
    </row>
    <row r="23" spans="2:29" ht="14.25" customHeight="1" x14ac:dyDescent="0.2">
      <c r="C23" s="14" t="s">
        <v>50</v>
      </c>
      <c r="G23" s="17"/>
      <c r="H23" s="18"/>
      <c r="I23" s="18"/>
      <c r="J23" s="18"/>
      <c r="K23" s="18"/>
      <c r="L23" s="16" t="s">
        <v>10</v>
      </c>
      <c r="M23" s="14" t="s">
        <v>16</v>
      </c>
      <c r="O23" s="14" t="s">
        <v>139</v>
      </c>
      <c r="P23" s="14" t="s">
        <v>135</v>
      </c>
      <c r="R23" s="15" t="s">
        <v>51</v>
      </c>
      <c r="S23" s="14" t="s">
        <v>52</v>
      </c>
      <c r="U23" s="14">
        <v>1</v>
      </c>
      <c r="Y23" s="14">
        <v>1</v>
      </c>
      <c r="Z23" s="14">
        <v>1</v>
      </c>
      <c r="AA23" s="14" t="s">
        <v>277</v>
      </c>
      <c r="AB23" s="14">
        <v>21</v>
      </c>
      <c r="AC23" s="14">
        <v>5</v>
      </c>
    </row>
    <row r="24" spans="2:29" ht="14.25" customHeight="1" x14ac:dyDescent="0.2">
      <c r="C24" s="14" t="s">
        <v>53</v>
      </c>
      <c r="D24" s="16" t="s">
        <v>54</v>
      </c>
      <c r="E24" s="14" t="s">
        <v>55</v>
      </c>
      <c r="G24" s="17"/>
      <c r="H24" s="18" t="s">
        <v>37</v>
      </c>
      <c r="I24" s="18" t="s">
        <v>37</v>
      </c>
      <c r="J24" s="18"/>
      <c r="K24" s="18"/>
      <c r="L24" s="16" t="s">
        <v>56</v>
      </c>
      <c r="M24" s="14" t="s">
        <v>57</v>
      </c>
      <c r="O24" s="14" t="s">
        <v>139</v>
      </c>
      <c r="P24" s="14" t="s">
        <v>139</v>
      </c>
      <c r="R24" s="15" t="s">
        <v>58</v>
      </c>
      <c r="U24" s="14">
        <v>1</v>
      </c>
      <c r="Y24" s="14">
        <v>2</v>
      </c>
      <c r="Z24" s="14">
        <v>1</v>
      </c>
      <c r="AA24" s="14" t="s">
        <v>278</v>
      </c>
      <c r="AB24" s="14">
        <v>21</v>
      </c>
      <c r="AC24" s="14">
        <v>6</v>
      </c>
    </row>
    <row r="25" spans="2:29" ht="14.25" customHeight="1" x14ac:dyDescent="0.2">
      <c r="C25" s="14" t="s">
        <v>59</v>
      </c>
      <c r="G25" s="17"/>
      <c r="H25" s="18"/>
      <c r="I25" s="18"/>
      <c r="J25" s="18"/>
      <c r="K25" s="18"/>
      <c r="L25" s="16" t="s">
        <v>10</v>
      </c>
      <c r="M25" s="14" t="s">
        <v>60</v>
      </c>
      <c r="O25" s="14" t="s">
        <v>139</v>
      </c>
      <c r="P25" s="14" t="s">
        <v>146</v>
      </c>
      <c r="R25" s="15" t="s">
        <v>61</v>
      </c>
      <c r="S25" s="14" t="s">
        <v>62</v>
      </c>
      <c r="U25" s="14">
        <v>1</v>
      </c>
    </row>
    <row r="26" spans="2:29" ht="14.25" customHeight="1" x14ac:dyDescent="0.2">
      <c r="C26" s="14" t="s">
        <v>63</v>
      </c>
      <c r="D26" s="16" t="s">
        <v>64</v>
      </c>
      <c r="E26" s="14" t="s">
        <v>65</v>
      </c>
      <c r="G26" s="17"/>
      <c r="H26" s="18" t="s">
        <v>136</v>
      </c>
      <c r="I26" s="18" t="s">
        <v>146</v>
      </c>
      <c r="J26" s="18"/>
      <c r="K26" s="18"/>
      <c r="L26" s="16"/>
      <c r="R26" s="15" t="s">
        <v>154</v>
      </c>
      <c r="S26" s="14" t="s">
        <v>66</v>
      </c>
      <c r="U26" s="14">
        <v>1</v>
      </c>
    </row>
    <row r="27" spans="2:29" ht="14.25" customHeight="1" x14ac:dyDescent="0.2">
      <c r="C27" s="14" t="s">
        <v>67</v>
      </c>
      <c r="D27" s="16" t="s">
        <v>8</v>
      </c>
      <c r="G27" s="17"/>
      <c r="H27" s="18" t="s">
        <v>146</v>
      </c>
      <c r="I27" s="18"/>
      <c r="J27" s="18"/>
      <c r="K27" s="18"/>
      <c r="L27" s="16"/>
      <c r="R27" s="15" t="s">
        <v>68</v>
      </c>
      <c r="S27" s="14" t="s">
        <v>67</v>
      </c>
      <c r="U27" s="14">
        <v>1</v>
      </c>
      <c r="Y27" s="14">
        <v>1</v>
      </c>
      <c r="Z27" s="14">
        <v>1</v>
      </c>
      <c r="AA27" s="14" t="s">
        <v>279</v>
      </c>
      <c r="AB27" s="14">
        <v>21</v>
      </c>
      <c r="AC27" s="14">
        <v>7</v>
      </c>
    </row>
    <row r="28" spans="2:29" ht="14.25" customHeight="1" x14ac:dyDescent="0.2">
      <c r="C28" s="14" t="s">
        <v>155</v>
      </c>
      <c r="G28" s="17"/>
      <c r="H28" s="18"/>
      <c r="I28" s="18"/>
      <c r="J28" s="18"/>
      <c r="K28" s="18"/>
      <c r="L28" s="16" t="s">
        <v>10</v>
      </c>
      <c r="O28" s="14" t="s">
        <v>139</v>
      </c>
      <c r="R28" s="15" t="s">
        <v>69</v>
      </c>
      <c r="S28" s="14" t="s">
        <v>70</v>
      </c>
      <c r="U28" s="14">
        <v>1</v>
      </c>
    </row>
    <row r="29" spans="2:29" ht="14.25" customHeight="1" x14ac:dyDescent="0.2">
      <c r="C29" s="14" t="s">
        <v>71</v>
      </c>
      <c r="D29" s="16" t="s">
        <v>8</v>
      </c>
      <c r="G29" s="17"/>
      <c r="H29" s="18" t="s">
        <v>136</v>
      </c>
      <c r="I29" s="18"/>
      <c r="J29" s="18"/>
      <c r="K29" s="18"/>
      <c r="L29" s="16"/>
      <c r="R29" s="15" t="s">
        <v>72</v>
      </c>
      <c r="S29" s="14" t="s">
        <v>73</v>
      </c>
      <c r="U29" s="14">
        <v>1</v>
      </c>
      <c r="Y29" s="14">
        <v>1</v>
      </c>
      <c r="Z29" s="14">
        <v>1</v>
      </c>
      <c r="AA29" s="14" t="s">
        <v>280</v>
      </c>
      <c r="AB29" s="14">
        <v>21</v>
      </c>
      <c r="AC29" s="14">
        <v>8</v>
      </c>
    </row>
    <row r="30" spans="2:29" ht="14.25" customHeight="1" x14ac:dyDescent="0.2">
      <c r="C30" s="14" t="s">
        <v>74</v>
      </c>
      <c r="G30" s="17"/>
      <c r="H30" s="18"/>
      <c r="I30" s="18"/>
      <c r="J30" s="18"/>
      <c r="K30" s="18"/>
      <c r="L30" s="16" t="s">
        <v>10</v>
      </c>
      <c r="O30" s="14" t="s">
        <v>74</v>
      </c>
      <c r="R30" s="15" t="s">
        <v>169</v>
      </c>
      <c r="S30" s="14" t="s">
        <v>75</v>
      </c>
      <c r="U30" s="14">
        <v>1</v>
      </c>
      <c r="Y30" s="14">
        <v>1</v>
      </c>
      <c r="Z30" s="14">
        <v>1</v>
      </c>
      <c r="AA30" s="14" t="s">
        <v>281</v>
      </c>
      <c r="AB30" s="14">
        <v>21</v>
      </c>
      <c r="AC30" s="14">
        <v>9</v>
      </c>
    </row>
    <row r="31" spans="2:29" ht="14.25" customHeight="1" x14ac:dyDescent="0.2">
      <c r="B31" s="14" t="s">
        <v>76</v>
      </c>
      <c r="G31" s="17"/>
      <c r="H31" s="18"/>
      <c r="I31" s="18"/>
      <c r="J31" s="18"/>
      <c r="K31" s="18"/>
      <c r="L31" s="16"/>
    </row>
    <row r="32" spans="2:29" ht="14.25" customHeight="1" x14ac:dyDescent="0.2">
      <c r="C32" s="14" t="s">
        <v>77</v>
      </c>
      <c r="G32" s="17"/>
      <c r="H32" s="18"/>
      <c r="I32" s="18"/>
      <c r="J32" s="18"/>
      <c r="K32" s="18"/>
      <c r="L32" s="16" t="s">
        <v>10</v>
      </c>
      <c r="O32" s="14" t="s">
        <v>137</v>
      </c>
      <c r="R32" s="15" t="s">
        <v>78</v>
      </c>
      <c r="S32" s="14" t="s">
        <v>79</v>
      </c>
      <c r="U32" s="14">
        <v>1</v>
      </c>
      <c r="Y32" s="14">
        <v>1</v>
      </c>
      <c r="Z32" s="14">
        <v>1</v>
      </c>
      <c r="AA32" s="14" t="s">
        <v>282</v>
      </c>
      <c r="AB32" s="14">
        <v>21</v>
      </c>
      <c r="AC32" s="14">
        <v>10</v>
      </c>
    </row>
    <row r="33" spans="1:29" ht="14.25" customHeight="1" x14ac:dyDescent="0.2">
      <c r="C33" s="14" t="s">
        <v>80</v>
      </c>
      <c r="G33" s="17"/>
      <c r="H33" s="18"/>
      <c r="I33" s="18"/>
      <c r="J33" s="18"/>
      <c r="K33" s="18"/>
      <c r="L33" s="16" t="s">
        <v>10</v>
      </c>
      <c r="O33" s="14" t="s">
        <v>145</v>
      </c>
      <c r="R33" s="15" t="s">
        <v>81</v>
      </c>
      <c r="U33" s="14">
        <v>1</v>
      </c>
      <c r="Y33" s="14">
        <v>1</v>
      </c>
      <c r="Z33" s="14">
        <v>1</v>
      </c>
      <c r="AA33" s="14" t="s">
        <v>284</v>
      </c>
      <c r="AB33" s="14">
        <v>21</v>
      </c>
      <c r="AC33" s="14">
        <v>11</v>
      </c>
    </row>
    <row r="34" spans="1:29" ht="14.25" customHeight="1" x14ac:dyDescent="0.2">
      <c r="C34" s="14" t="s">
        <v>82</v>
      </c>
      <c r="G34" s="17"/>
      <c r="H34" s="18"/>
      <c r="I34" s="18"/>
      <c r="J34" s="18"/>
      <c r="K34" s="18"/>
      <c r="L34" s="16" t="s">
        <v>10</v>
      </c>
      <c r="O34" s="14" t="s">
        <v>145</v>
      </c>
      <c r="R34" s="15" t="s">
        <v>83</v>
      </c>
      <c r="U34" s="14">
        <v>1</v>
      </c>
      <c r="Y34" s="14">
        <v>1</v>
      </c>
      <c r="Z34" s="14">
        <v>1</v>
      </c>
      <c r="AA34" s="14" t="s">
        <v>285</v>
      </c>
      <c r="AB34" s="14">
        <v>21</v>
      </c>
      <c r="AC34" s="14">
        <v>12</v>
      </c>
    </row>
    <row r="35" spans="1:29" ht="14.25" customHeight="1" x14ac:dyDescent="0.2">
      <c r="C35" s="14" t="s">
        <v>84</v>
      </c>
      <c r="D35" s="16" t="s">
        <v>8</v>
      </c>
      <c r="E35" s="14" t="s">
        <v>85</v>
      </c>
      <c r="G35" s="17"/>
      <c r="H35" s="18" t="s">
        <v>145</v>
      </c>
      <c r="I35" s="18" t="s">
        <v>163</v>
      </c>
      <c r="J35" s="18"/>
      <c r="K35" s="18"/>
      <c r="L35" s="16"/>
      <c r="R35" s="15" t="s">
        <v>86</v>
      </c>
      <c r="U35" s="14">
        <v>1</v>
      </c>
      <c r="Y35" s="14">
        <v>1</v>
      </c>
      <c r="Z35" s="14">
        <v>1</v>
      </c>
      <c r="AA35" s="14" t="s">
        <v>283</v>
      </c>
      <c r="AB35" s="14">
        <v>21</v>
      </c>
      <c r="AC35" s="14">
        <v>13</v>
      </c>
    </row>
    <row r="36" spans="1:29" ht="14.25" customHeight="1" x14ac:dyDescent="0.2">
      <c r="C36" s="14" t="s">
        <v>87</v>
      </c>
      <c r="D36" s="16" t="s">
        <v>8</v>
      </c>
      <c r="E36" s="14" t="s">
        <v>85</v>
      </c>
      <c r="G36" s="17"/>
      <c r="H36" s="18" t="s">
        <v>145</v>
      </c>
      <c r="I36" s="18" t="s">
        <v>163</v>
      </c>
      <c r="J36" s="18"/>
      <c r="K36" s="18"/>
      <c r="L36" s="16"/>
      <c r="R36" s="15" t="s">
        <v>88</v>
      </c>
      <c r="U36" s="14">
        <v>1</v>
      </c>
      <c r="Y36" s="14">
        <v>1</v>
      </c>
      <c r="Z36" s="14">
        <v>1</v>
      </c>
      <c r="AA36" s="14" t="s">
        <v>286</v>
      </c>
      <c r="AB36" s="14">
        <v>21</v>
      </c>
      <c r="AC36" s="14">
        <v>14</v>
      </c>
    </row>
    <row r="37" spans="1:29" ht="14.25" customHeight="1" x14ac:dyDescent="0.2">
      <c r="A37" s="14" t="s">
        <v>217</v>
      </c>
      <c r="B37" s="14" t="s">
        <v>218</v>
      </c>
      <c r="G37" s="17"/>
      <c r="H37" s="18"/>
      <c r="I37" s="18"/>
      <c r="J37" s="18"/>
      <c r="K37" s="18"/>
      <c r="L37" s="16"/>
    </row>
    <row r="38" spans="1:29" ht="14.25" customHeight="1" x14ac:dyDescent="0.2">
      <c r="B38" s="14" t="s">
        <v>218</v>
      </c>
      <c r="G38" s="17"/>
      <c r="H38" s="18"/>
      <c r="I38" s="18"/>
      <c r="J38" s="18"/>
      <c r="K38" s="18"/>
      <c r="L38" s="16"/>
    </row>
    <row r="39" spans="1:29" ht="14.25" customHeight="1" x14ac:dyDescent="0.2">
      <c r="C39" s="14" t="s">
        <v>219</v>
      </c>
      <c r="D39" s="16" t="s">
        <v>8</v>
      </c>
      <c r="G39" s="17"/>
      <c r="H39" s="18" t="s">
        <v>220</v>
      </c>
      <c r="I39" s="18"/>
      <c r="J39" s="18"/>
      <c r="K39" s="18"/>
      <c r="L39" s="16" t="s">
        <v>10</v>
      </c>
      <c r="O39" s="14" t="s">
        <v>220</v>
      </c>
      <c r="R39" s="15" t="s">
        <v>221</v>
      </c>
      <c r="S39" s="14" t="s">
        <v>222</v>
      </c>
      <c r="V39" s="14" t="s">
        <v>223</v>
      </c>
      <c r="W39" s="14">
        <v>1</v>
      </c>
      <c r="X39" s="14">
        <v>1</v>
      </c>
      <c r="Y39" s="14">
        <v>1</v>
      </c>
      <c r="Z39" s="14">
        <v>1</v>
      </c>
      <c r="AA39" s="14" t="s">
        <v>263</v>
      </c>
      <c r="AB39" s="14">
        <v>20</v>
      </c>
      <c r="AC39" s="14">
        <v>0</v>
      </c>
    </row>
    <row r="40" spans="1:29" ht="14.25" customHeight="1" x14ac:dyDescent="0.2">
      <c r="C40" s="14" t="s">
        <v>229</v>
      </c>
      <c r="D40" s="16" t="s">
        <v>8</v>
      </c>
      <c r="G40" s="17"/>
      <c r="H40" s="18" t="s">
        <v>220</v>
      </c>
      <c r="I40" s="18"/>
      <c r="J40" s="18"/>
      <c r="K40" s="18"/>
      <c r="L40" s="16" t="s">
        <v>10</v>
      </c>
      <c r="O40" s="14" t="s">
        <v>220</v>
      </c>
      <c r="R40" s="15" t="s">
        <v>221</v>
      </c>
      <c r="S40" s="14" t="s">
        <v>222</v>
      </c>
      <c r="W40" s="14">
        <v>1</v>
      </c>
      <c r="X40" s="14">
        <v>1</v>
      </c>
      <c r="Y40" s="14">
        <v>1</v>
      </c>
      <c r="Z40" s="14">
        <v>1</v>
      </c>
      <c r="AA40" s="14" t="s">
        <v>264</v>
      </c>
      <c r="AB40" s="14">
        <v>20</v>
      </c>
      <c r="AC40" s="14">
        <v>1</v>
      </c>
    </row>
    <row r="41" spans="1:29" ht="14.25" customHeight="1" x14ac:dyDescent="0.2">
      <c r="C41" s="14" t="s">
        <v>230</v>
      </c>
      <c r="D41" s="16" t="s">
        <v>8</v>
      </c>
      <c r="G41" s="17"/>
      <c r="H41" s="18" t="s">
        <v>220</v>
      </c>
      <c r="I41" s="18"/>
      <c r="J41" s="18"/>
      <c r="K41" s="18"/>
      <c r="L41" s="16" t="s">
        <v>10</v>
      </c>
      <c r="O41" s="14" t="s">
        <v>220</v>
      </c>
      <c r="R41" s="15" t="s">
        <v>221</v>
      </c>
      <c r="S41" s="14" t="s">
        <v>222</v>
      </c>
      <c r="W41" s="14">
        <v>1</v>
      </c>
      <c r="X41" s="14">
        <v>1</v>
      </c>
      <c r="Y41" s="14">
        <v>1</v>
      </c>
      <c r="Z41" s="14">
        <v>1</v>
      </c>
      <c r="AA41" s="14" t="s">
        <v>265</v>
      </c>
      <c r="AB41" s="14">
        <v>20</v>
      </c>
      <c r="AC41" s="14">
        <f>AC40+1</f>
        <v>2</v>
      </c>
    </row>
    <row r="42" spans="1:29" ht="14.25" customHeight="1" x14ac:dyDescent="0.2">
      <c r="C42" s="14" t="s">
        <v>231</v>
      </c>
      <c r="D42" s="16" t="s">
        <v>8</v>
      </c>
      <c r="E42" s="14" t="s">
        <v>9</v>
      </c>
      <c r="G42" s="17"/>
      <c r="H42" s="18" t="s">
        <v>220</v>
      </c>
      <c r="I42" s="18" t="s">
        <v>220</v>
      </c>
      <c r="J42" s="18"/>
      <c r="K42" s="18"/>
      <c r="L42" s="16" t="s">
        <v>232</v>
      </c>
      <c r="M42" s="14" t="s">
        <v>233</v>
      </c>
      <c r="O42" s="14" t="s">
        <v>220</v>
      </c>
      <c r="P42" s="14" t="s">
        <v>220</v>
      </c>
      <c r="R42" s="15" t="s">
        <v>221</v>
      </c>
      <c r="S42" s="14" t="s">
        <v>222</v>
      </c>
      <c r="W42" s="14">
        <v>1</v>
      </c>
      <c r="X42" s="14">
        <v>1</v>
      </c>
      <c r="Y42" s="14">
        <v>1</v>
      </c>
      <c r="Z42" s="14">
        <v>1</v>
      </c>
      <c r="AA42" s="14" t="s">
        <v>266</v>
      </c>
      <c r="AB42" s="14">
        <v>20</v>
      </c>
      <c r="AC42" s="14">
        <f t="shared" ref="AC42:AC45" si="0">AC41+1</f>
        <v>3</v>
      </c>
    </row>
    <row r="43" spans="1:29" ht="14.25" customHeight="1" x14ac:dyDescent="0.2">
      <c r="C43" s="14" t="s">
        <v>234</v>
      </c>
      <c r="D43" s="16" t="s">
        <v>8</v>
      </c>
      <c r="G43" s="17"/>
      <c r="H43" s="18" t="s">
        <v>220</v>
      </c>
      <c r="I43" s="18"/>
      <c r="J43" s="18"/>
      <c r="K43" s="18"/>
      <c r="L43" s="16" t="s">
        <v>10</v>
      </c>
      <c r="O43" s="14" t="s">
        <v>220</v>
      </c>
      <c r="R43" s="15" t="s">
        <v>221</v>
      </c>
      <c r="S43" s="14" t="s">
        <v>222</v>
      </c>
      <c r="W43" s="14">
        <v>1</v>
      </c>
      <c r="X43" s="14">
        <v>1</v>
      </c>
      <c r="Y43" s="14">
        <v>1</v>
      </c>
      <c r="Z43" s="14">
        <v>1</v>
      </c>
      <c r="AA43" s="14" t="s">
        <v>267</v>
      </c>
      <c r="AB43" s="14">
        <v>20</v>
      </c>
      <c r="AC43" s="14">
        <f t="shared" si="0"/>
        <v>4</v>
      </c>
    </row>
    <row r="44" spans="1:29" ht="14.25" customHeight="1" x14ac:dyDescent="0.2">
      <c r="C44" s="14" t="s">
        <v>235</v>
      </c>
      <c r="D44" s="16" t="s">
        <v>8</v>
      </c>
      <c r="G44" s="17"/>
      <c r="H44" s="18" t="s">
        <v>220</v>
      </c>
      <c r="I44" s="18"/>
      <c r="J44" s="18"/>
      <c r="K44" s="18"/>
      <c r="L44" s="16" t="s">
        <v>10</v>
      </c>
      <c r="O44" s="14" t="s">
        <v>220</v>
      </c>
      <c r="R44" s="15" t="s">
        <v>221</v>
      </c>
      <c r="S44" s="14" t="s">
        <v>222</v>
      </c>
      <c r="W44" s="14">
        <v>1</v>
      </c>
      <c r="X44" s="14">
        <v>1</v>
      </c>
      <c r="Y44" s="14">
        <v>1</v>
      </c>
      <c r="Z44" s="14">
        <v>1</v>
      </c>
      <c r="AA44" s="14" t="s">
        <v>268</v>
      </c>
      <c r="AB44" s="14">
        <v>20</v>
      </c>
      <c r="AC44" s="14">
        <f t="shared" si="0"/>
        <v>5</v>
      </c>
    </row>
    <row r="45" spans="1:29" ht="14.25" customHeight="1" x14ac:dyDescent="0.2">
      <c r="C45" s="14" t="s">
        <v>236</v>
      </c>
      <c r="D45" s="16" t="s">
        <v>8</v>
      </c>
      <c r="G45" s="17"/>
      <c r="H45" s="18" t="s">
        <v>220</v>
      </c>
      <c r="I45" s="18"/>
      <c r="J45" s="18"/>
      <c r="K45" s="18"/>
      <c r="L45" s="16" t="s">
        <v>232</v>
      </c>
      <c r="M45" s="14" t="s">
        <v>233</v>
      </c>
      <c r="N45" s="17" t="s">
        <v>237</v>
      </c>
      <c r="O45" s="14" t="s">
        <v>220</v>
      </c>
      <c r="P45" s="14" t="s">
        <v>220</v>
      </c>
      <c r="Q45" s="14" t="s">
        <v>220</v>
      </c>
      <c r="R45" s="15" t="s">
        <v>221</v>
      </c>
      <c r="S45" s="14" t="s">
        <v>222</v>
      </c>
      <c r="W45" s="14">
        <v>1</v>
      </c>
      <c r="X45" s="14">
        <v>1</v>
      </c>
      <c r="Y45" s="14">
        <v>1</v>
      </c>
      <c r="Z45" s="14">
        <v>1</v>
      </c>
      <c r="AA45" s="14" t="s">
        <v>269</v>
      </c>
      <c r="AB45" s="14">
        <v>20</v>
      </c>
      <c r="AC45" s="14">
        <f t="shared" si="0"/>
        <v>6</v>
      </c>
    </row>
    <row r="46" spans="1:29" ht="14.25" customHeight="1" x14ac:dyDescent="0.2">
      <c r="C46" s="14" t="s">
        <v>270</v>
      </c>
      <c r="D46" s="16" t="s">
        <v>8</v>
      </c>
      <c r="G46" s="17"/>
      <c r="H46" s="18" t="s">
        <v>220</v>
      </c>
      <c r="I46" s="18"/>
      <c r="J46" s="18"/>
      <c r="K46" s="18"/>
      <c r="L46" s="16" t="s">
        <v>232</v>
      </c>
      <c r="O46" s="14" t="s">
        <v>220</v>
      </c>
      <c r="R46" s="15" t="s">
        <v>221</v>
      </c>
      <c r="S46" s="14" t="s">
        <v>222</v>
      </c>
      <c r="Y46" s="14">
        <v>1</v>
      </c>
      <c r="Z46" s="14">
        <v>1</v>
      </c>
      <c r="AA46" s="14" t="s">
        <v>287</v>
      </c>
      <c r="AB46" s="14">
        <v>20</v>
      </c>
      <c r="AC46" s="14">
        <v>7</v>
      </c>
    </row>
    <row r="47" spans="1:29" ht="14.25" customHeight="1" x14ac:dyDescent="0.2">
      <c r="A47" s="14" t="s">
        <v>89</v>
      </c>
      <c r="G47" s="17"/>
      <c r="H47" s="18"/>
      <c r="I47" s="18"/>
      <c r="J47" s="18"/>
      <c r="K47" s="18"/>
      <c r="L47" s="16"/>
    </row>
    <row r="48" spans="1:29" ht="14.25" customHeight="1" x14ac:dyDescent="0.2">
      <c r="B48" s="14" t="s">
        <v>90</v>
      </c>
      <c r="G48" s="17"/>
      <c r="H48" s="18"/>
      <c r="I48" s="18"/>
      <c r="J48" s="18"/>
      <c r="K48" s="18"/>
      <c r="L48" s="16"/>
    </row>
    <row r="49" spans="2:22" ht="14.25" customHeight="1" x14ac:dyDescent="0.2">
      <c r="C49" s="14" t="s">
        <v>91</v>
      </c>
      <c r="G49" s="17"/>
      <c r="H49" s="18"/>
      <c r="I49" s="18"/>
      <c r="J49" s="18"/>
      <c r="K49" s="18"/>
      <c r="L49" s="16" t="s">
        <v>10</v>
      </c>
      <c r="O49" s="14" t="s">
        <v>137</v>
      </c>
      <c r="R49" s="15" t="s">
        <v>92</v>
      </c>
      <c r="V49" s="14" t="s">
        <v>171</v>
      </c>
    </row>
    <row r="50" spans="2:22" ht="14.25" customHeight="1" x14ac:dyDescent="0.2">
      <c r="C50" s="14" t="s">
        <v>93</v>
      </c>
      <c r="G50" s="17"/>
      <c r="H50" s="18"/>
      <c r="I50" s="18"/>
      <c r="J50" s="18"/>
      <c r="K50" s="18"/>
      <c r="L50" s="16" t="s">
        <v>10</v>
      </c>
      <c r="O50" s="14" t="s">
        <v>137</v>
      </c>
      <c r="R50" s="15" t="s">
        <v>94</v>
      </c>
      <c r="V50" s="14" t="s">
        <v>172</v>
      </c>
    </row>
    <row r="51" spans="2:22" ht="14.25" customHeight="1" x14ac:dyDescent="0.2">
      <c r="C51" s="14" t="s">
        <v>95</v>
      </c>
      <c r="D51" s="16" t="s">
        <v>8</v>
      </c>
      <c r="E51" s="14" t="s">
        <v>96</v>
      </c>
      <c r="G51" s="17"/>
      <c r="H51" s="18" t="s">
        <v>136</v>
      </c>
      <c r="I51" s="18" t="s">
        <v>37</v>
      </c>
      <c r="J51" s="18"/>
      <c r="K51" s="18"/>
      <c r="L51" s="16" t="s">
        <v>10</v>
      </c>
      <c r="O51" s="14" t="s">
        <v>137</v>
      </c>
      <c r="R51" s="15" t="s">
        <v>97</v>
      </c>
      <c r="V51" s="14" t="s">
        <v>173</v>
      </c>
    </row>
    <row r="52" spans="2:22" ht="14.25" customHeight="1" x14ac:dyDescent="0.2">
      <c r="C52" s="14" t="s">
        <v>98</v>
      </c>
      <c r="D52" s="16" t="s">
        <v>8</v>
      </c>
      <c r="G52" s="17"/>
      <c r="H52" s="18" t="s">
        <v>136</v>
      </c>
      <c r="I52" s="18"/>
      <c r="J52" s="18"/>
      <c r="K52" s="18"/>
      <c r="L52" s="16" t="s">
        <v>10</v>
      </c>
      <c r="O52" s="14" t="s">
        <v>98</v>
      </c>
      <c r="R52" s="15" t="s">
        <v>99</v>
      </c>
      <c r="V52" s="14" t="s">
        <v>174</v>
      </c>
    </row>
    <row r="53" spans="2:22" ht="14.25" customHeight="1" x14ac:dyDescent="0.2">
      <c r="C53" s="14" t="s">
        <v>100</v>
      </c>
      <c r="D53" s="16" t="s">
        <v>8</v>
      </c>
      <c r="G53" s="17"/>
      <c r="H53" s="18" t="s">
        <v>136</v>
      </c>
      <c r="I53" s="18"/>
      <c r="J53" s="18"/>
      <c r="K53" s="18"/>
      <c r="L53" s="16" t="s">
        <v>10</v>
      </c>
      <c r="O53" s="14" t="s">
        <v>100</v>
      </c>
      <c r="R53" s="15" t="s">
        <v>101</v>
      </c>
    </row>
    <row r="54" spans="2:22" ht="14.25" customHeight="1" x14ac:dyDescent="0.2">
      <c r="C54" s="14" t="s">
        <v>102</v>
      </c>
      <c r="D54" s="16" t="s">
        <v>8</v>
      </c>
      <c r="G54" s="17"/>
      <c r="H54" s="18" t="s">
        <v>100</v>
      </c>
      <c r="I54" s="18"/>
      <c r="J54" s="18"/>
      <c r="K54" s="18"/>
      <c r="L54" s="16" t="s">
        <v>10</v>
      </c>
      <c r="O54" s="14" t="s">
        <v>136</v>
      </c>
      <c r="R54" s="15" t="s">
        <v>103</v>
      </c>
    </row>
    <row r="55" spans="2:22" ht="14.25" customHeight="1" x14ac:dyDescent="0.2">
      <c r="C55" s="14" t="s">
        <v>104</v>
      </c>
      <c r="D55" s="16" t="s">
        <v>105</v>
      </c>
      <c r="E55" s="14" t="s">
        <v>106</v>
      </c>
      <c r="F55" s="14" t="s">
        <v>9</v>
      </c>
      <c r="G55" s="17" t="s">
        <v>107</v>
      </c>
      <c r="H55" s="18" t="s">
        <v>98</v>
      </c>
      <c r="I55" s="18" t="s">
        <v>98</v>
      </c>
      <c r="J55" s="18" t="s">
        <v>98</v>
      </c>
      <c r="K55" s="18" t="s">
        <v>98</v>
      </c>
      <c r="L55" s="16" t="s">
        <v>10</v>
      </c>
      <c r="O55" s="14" t="s">
        <v>136</v>
      </c>
      <c r="R55" s="15" t="s">
        <v>108</v>
      </c>
    </row>
    <row r="56" spans="2:22" ht="14.25" customHeight="1" x14ac:dyDescent="0.2">
      <c r="C56" s="14" t="s">
        <v>109</v>
      </c>
      <c r="D56" s="16" t="s">
        <v>8</v>
      </c>
      <c r="G56" s="17"/>
      <c r="H56" s="18" t="s">
        <v>139</v>
      </c>
      <c r="I56" s="18"/>
      <c r="J56" s="18"/>
      <c r="K56" s="18"/>
      <c r="L56" s="16" t="s">
        <v>105</v>
      </c>
      <c r="M56" s="14" t="s">
        <v>106</v>
      </c>
      <c r="N56" s="17" t="s">
        <v>9</v>
      </c>
      <c r="O56" s="14" t="s">
        <v>98</v>
      </c>
      <c r="P56" s="14" t="s">
        <v>98</v>
      </c>
      <c r="Q56" s="14" t="s">
        <v>98</v>
      </c>
      <c r="R56" s="15" t="s">
        <v>110</v>
      </c>
    </row>
    <row r="57" spans="2:22" ht="14.25" customHeight="1" x14ac:dyDescent="0.2">
      <c r="C57" s="14" t="s">
        <v>111</v>
      </c>
      <c r="D57" s="16" t="s">
        <v>8</v>
      </c>
      <c r="E57" s="14" t="s">
        <v>112</v>
      </c>
      <c r="G57" s="17"/>
      <c r="H57" s="18" t="s">
        <v>136</v>
      </c>
      <c r="I57" s="18" t="s">
        <v>137</v>
      </c>
      <c r="J57" s="18"/>
      <c r="K57" s="18"/>
      <c r="L57" s="16" t="s">
        <v>10</v>
      </c>
      <c r="O57" s="14" t="s">
        <v>136</v>
      </c>
      <c r="R57" s="15" t="s">
        <v>113</v>
      </c>
      <c r="S57" s="14" t="s">
        <v>114</v>
      </c>
    </row>
    <row r="58" spans="2:22" ht="14.25" customHeight="1" x14ac:dyDescent="0.2">
      <c r="C58" s="14" t="s">
        <v>115</v>
      </c>
      <c r="D58" s="16" t="s">
        <v>8</v>
      </c>
      <c r="E58" s="14" t="s">
        <v>116</v>
      </c>
      <c r="F58" s="14" t="s">
        <v>117</v>
      </c>
      <c r="G58" s="17"/>
      <c r="H58" s="18" t="s">
        <v>136</v>
      </c>
      <c r="I58" s="18" t="s">
        <v>37</v>
      </c>
      <c r="J58" s="18" t="s">
        <v>128</v>
      </c>
      <c r="K58" s="18"/>
      <c r="L58" s="16" t="s">
        <v>10</v>
      </c>
      <c r="O58" s="14" t="s">
        <v>136</v>
      </c>
      <c r="R58" s="15" t="s">
        <v>118</v>
      </c>
    </row>
    <row r="59" spans="2:22" ht="14.25" customHeight="1" x14ac:dyDescent="0.2">
      <c r="C59" s="14" t="s">
        <v>119</v>
      </c>
      <c r="D59" s="16" t="s">
        <v>8</v>
      </c>
      <c r="E59" s="14" t="s">
        <v>9</v>
      </c>
      <c r="F59" s="14" t="s">
        <v>85</v>
      </c>
      <c r="G59" s="17"/>
      <c r="H59" s="18" t="s">
        <v>136</v>
      </c>
      <c r="I59" s="18" t="s">
        <v>136</v>
      </c>
      <c r="J59" s="18" t="s">
        <v>98</v>
      </c>
      <c r="K59" s="18"/>
      <c r="L59" s="16" t="s">
        <v>10</v>
      </c>
      <c r="O59" s="14" t="s">
        <v>136</v>
      </c>
      <c r="R59" s="15" t="s">
        <v>120</v>
      </c>
    </row>
    <row r="60" spans="2:22" ht="14.25" customHeight="1" x14ac:dyDescent="0.2">
      <c r="C60" s="14" t="s">
        <v>121</v>
      </c>
      <c r="D60" s="16" t="s">
        <v>8</v>
      </c>
      <c r="E60" s="14" t="s">
        <v>122</v>
      </c>
      <c r="G60" s="17"/>
      <c r="H60" s="18" t="s">
        <v>136</v>
      </c>
      <c r="I60" s="18" t="s">
        <v>74</v>
      </c>
      <c r="J60" s="18"/>
      <c r="K60" s="18"/>
      <c r="L60" s="16" t="s">
        <v>10</v>
      </c>
      <c r="O60" s="14" t="s">
        <v>136</v>
      </c>
    </row>
    <row r="61" spans="2:22" ht="14.25" customHeight="1" x14ac:dyDescent="0.2">
      <c r="B61" s="14" t="s">
        <v>123</v>
      </c>
      <c r="G61" s="17"/>
      <c r="H61" s="18"/>
      <c r="I61" s="18"/>
      <c r="J61" s="18"/>
      <c r="K61" s="18"/>
      <c r="L61" s="16"/>
    </row>
    <row r="62" spans="2:22" ht="14.25" customHeight="1" x14ac:dyDescent="0.2">
      <c r="C62" s="14" t="s">
        <v>124</v>
      </c>
      <c r="D62" s="16" t="s">
        <v>8</v>
      </c>
      <c r="G62" s="17"/>
      <c r="H62" s="18" t="s">
        <v>136</v>
      </c>
      <c r="I62" s="18"/>
      <c r="J62" s="18"/>
      <c r="K62" s="18"/>
      <c r="L62" s="16" t="s">
        <v>10</v>
      </c>
      <c r="O62" s="14" t="s">
        <v>140</v>
      </c>
      <c r="R62" s="15" t="s">
        <v>125</v>
      </c>
    </row>
    <row r="63" spans="2:22" s="19" customFormat="1" ht="21.75" customHeight="1" x14ac:dyDescent="0.2">
      <c r="C63" s="19" t="s">
        <v>152</v>
      </c>
      <c r="D63" s="20" t="s">
        <v>8</v>
      </c>
      <c r="G63" s="21"/>
      <c r="H63" s="19" t="s">
        <v>140</v>
      </c>
      <c r="L63" s="20" t="s">
        <v>10</v>
      </c>
      <c r="N63" s="21"/>
      <c r="O63" s="19" t="s">
        <v>98</v>
      </c>
      <c r="R63" s="22" t="s">
        <v>153</v>
      </c>
    </row>
    <row r="64" spans="2:22" ht="21.75" customHeight="1" x14ac:dyDescent="0.2">
      <c r="G64" s="17"/>
      <c r="H64" s="18"/>
      <c r="I64" s="18"/>
      <c r="J64" s="18"/>
      <c r="K64" s="18"/>
      <c r="L64" s="16"/>
    </row>
    <row r="65" spans="7:12" ht="21.75" customHeight="1" x14ac:dyDescent="0.2">
      <c r="G65" s="17"/>
      <c r="H65" s="18"/>
      <c r="I65" s="18"/>
      <c r="J65" s="18"/>
      <c r="K65" s="18"/>
      <c r="L65" s="16"/>
    </row>
    <row r="66" spans="7:12" ht="21.75" customHeight="1" x14ac:dyDescent="0.2">
      <c r="G66" s="17"/>
      <c r="H66" s="18"/>
      <c r="I66" s="18"/>
      <c r="J66" s="18"/>
      <c r="K66" s="18"/>
      <c r="L66" s="16"/>
    </row>
    <row r="67" spans="7:12" ht="21.75" customHeight="1" x14ac:dyDescent="0.2">
      <c r="G67" s="17"/>
      <c r="H67" s="18"/>
      <c r="I67" s="18"/>
      <c r="J67" s="18"/>
      <c r="K67" s="18"/>
      <c r="L67" s="16"/>
    </row>
    <row r="68" spans="7:12" ht="21.75" customHeight="1" x14ac:dyDescent="0.2">
      <c r="G68" s="17"/>
      <c r="H68" s="18"/>
      <c r="I68" s="18"/>
      <c r="J68" s="18"/>
      <c r="K68" s="18"/>
      <c r="L68" s="16"/>
    </row>
    <row r="69" spans="7:12" ht="21.75" customHeight="1" x14ac:dyDescent="0.2">
      <c r="G69" s="17"/>
      <c r="H69" s="18"/>
      <c r="I69" s="18"/>
      <c r="J69" s="18"/>
      <c r="K69" s="18"/>
      <c r="L69" s="16"/>
    </row>
    <row r="70" spans="7:12" ht="21.75" customHeight="1" x14ac:dyDescent="0.2">
      <c r="G70" s="17"/>
      <c r="H70" s="18"/>
      <c r="I70" s="18"/>
      <c r="J70" s="18"/>
      <c r="K70" s="18"/>
      <c r="L70" s="16"/>
    </row>
    <row r="71" spans="7:12" ht="21.75" customHeight="1" x14ac:dyDescent="0.2">
      <c r="G71" s="17"/>
      <c r="H71" s="18"/>
      <c r="I71" s="18"/>
      <c r="J71" s="18"/>
      <c r="K71" s="18"/>
      <c r="L71" s="16"/>
    </row>
    <row r="72" spans="7:12" ht="21.75" customHeight="1" x14ac:dyDescent="0.2">
      <c r="G72" s="17"/>
      <c r="H72" s="18"/>
      <c r="I72" s="18"/>
      <c r="J72" s="18"/>
      <c r="K72" s="18"/>
      <c r="L72" s="16"/>
    </row>
    <row r="73" spans="7:12" ht="21.75" customHeight="1" x14ac:dyDescent="0.2">
      <c r="G73" s="17"/>
      <c r="H73" s="18"/>
      <c r="I73" s="18"/>
      <c r="J73" s="18"/>
      <c r="K73" s="18"/>
      <c r="L73" s="16"/>
    </row>
    <row r="74" spans="7:12" ht="21.75" customHeight="1" x14ac:dyDescent="0.2">
      <c r="G74" s="17"/>
      <c r="H74" s="18"/>
      <c r="I74" s="18"/>
      <c r="J74" s="18"/>
      <c r="K74" s="18"/>
      <c r="L74" s="16"/>
    </row>
    <row r="75" spans="7:12" ht="21.75" customHeight="1" x14ac:dyDescent="0.2">
      <c r="G75" s="17"/>
      <c r="H75" s="18"/>
      <c r="I75" s="18"/>
      <c r="J75" s="18"/>
      <c r="K75" s="18"/>
      <c r="L75" s="16"/>
    </row>
    <row r="76" spans="7:12" ht="21.75" customHeight="1" x14ac:dyDescent="0.2">
      <c r="G76" s="17"/>
      <c r="H76" s="18"/>
      <c r="I76" s="18"/>
      <c r="J76" s="18"/>
      <c r="K76" s="18"/>
      <c r="L76" s="16"/>
    </row>
    <row r="77" spans="7:12" ht="21.75" customHeight="1" x14ac:dyDescent="0.2">
      <c r="G77" s="17"/>
      <c r="H77" s="18"/>
      <c r="I77" s="18"/>
      <c r="J77" s="18"/>
      <c r="K77" s="18"/>
      <c r="L77" s="16"/>
    </row>
    <row r="78" spans="7:12" ht="21.75" customHeight="1" x14ac:dyDescent="0.2">
      <c r="G78" s="17"/>
      <c r="H78" s="18"/>
      <c r="I78" s="18"/>
      <c r="J78" s="18"/>
      <c r="K78" s="18"/>
      <c r="L78" s="16"/>
    </row>
    <row r="79" spans="7:12" ht="21.75" customHeight="1" x14ac:dyDescent="0.2">
      <c r="G79" s="17"/>
      <c r="H79" s="18"/>
      <c r="I79" s="18"/>
      <c r="J79" s="18"/>
      <c r="K79" s="18"/>
      <c r="L79" s="16"/>
    </row>
    <row r="80" spans="7:12" ht="21.75" customHeight="1" x14ac:dyDescent="0.2">
      <c r="G80" s="17"/>
      <c r="H80" s="18"/>
      <c r="I80" s="18"/>
      <c r="J80" s="18"/>
      <c r="K80" s="18"/>
      <c r="L80" s="16"/>
    </row>
    <row r="81" spans="7:12" ht="21.75" customHeight="1" x14ac:dyDescent="0.2">
      <c r="G81" s="17"/>
      <c r="H81" s="18"/>
      <c r="I81" s="18"/>
      <c r="J81" s="18"/>
      <c r="K81" s="18"/>
      <c r="L81" s="16"/>
    </row>
    <row r="82" spans="7:12" ht="21.75" customHeight="1" x14ac:dyDescent="0.2">
      <c r="G82" s="17"/>
      <c r="H82" s="18"/>
      <c r="I82" s="18"/>
      <c r="J82" s="18"/>
      <c r="K82" s="18"/>
      <c r="L82" s="16"/>
    </row>
    <row r="83" spans="7:12" ht="21.75" customHeight="1" x14ac:dyDescent="0.2">
      <c r="G83" s="17"/>
      <c r="H83" s="18"/>
      <c r="I83" s="18"/>
      <c r="J83" s="18"/>
      <c r="K83" s="18"/>
      <c r="L83" s="16"/>
    </row>
    <row r="84" spans="7:12" ht="21.75" customHeight="1" x14ac:dyDescent="0.2">
      <c r="G84" s="17"/>
      <c r="H84" s="18"/>
      <c r="I84" s="18"/>
      <c r="J84" s="18"/>
      <c r="K84" s="18"/>
      <c r="L84" s="16"/>
    </row>
    <row r="85" spans="7:12" ht="21.75" customHeight="1" x14ac:dyDescent="0.2">
      <c r="G85" s="17"/>
      <c r="H85" s="18"/>
      <c r="I85" s="18"/>
      <c r="J85" s="18"/>
      <c r="K85" s="18"/>
      <c r="L85" s="16"/>
    </row>
    <row r="86" spans="7:12" ht="21.75" customHeight="1" x14ac:dyDescent="0.2">
      <c r="G86" s="17"/>
      <c r="H86" s="18"/>
      <c r="I86" s="18"/>
      <c r="J86" s="18"/>
      <c r="K86" s="18"/>
      <c r="L86" s="16"/>
    </row>
    <row r="87" spans="7:12" ht="21.75" customHeight="1" x14ac:dyDescent="0.2">
      <c r="G87" s="17"/>
      <c r="H87" s="18"/>
      <c r="I87" s="18"/>
      <c r="J87" s="18"/>
      <c r="K87" s="18"/>
      <c r="L87" s="16"/>
    </row>
    <row r="88" spans="7:12" ht="21.75" customHeight="1" x14ac:dyDescent="0.2">
      <c r="G88" s="17"/>
      <c r="H88" s="18"/>
      <c r="I88" s="18"/>
      <c r="J88" s="18"/>
      <c r="K88" s="18"/>
      <c r="L88" s="16"/>
    </row>
    <row r="89" spans="7:12" ht="21.75" customHeight="1" x14ac:dyDescent="0.2">
      <c r="G89" s="17"/>
      <c r="H89" s="18"/>
      <c r="I89" s="18"/>
      <c r="J89" s="18"/>
      <c r="K89" s="18"/>
      <c r="L89" s="16"/>
    </row>
    <row r="90" spans="7:12" ht="21.75" customHeight="1" x14ac:dyDescent="0.2">
      <c r="G90" s="17"/>
      <c r="H90" s="18"/>
      <c r="I90" s="18"/>
      <c r="J90" s="18"/>
      <c r="K90" s="18"/>
      <c r="L90" s="16"/>
    </row>
    <row r="91" spans="7:12" ht="21.75" customHeight="1" x14ac:dyDescent="0.2">
      <c r="G91" s="17"/>
      <c r="H91" s="18"/>
      <c r="I91" s="18"/>
      <c r="J91" s="18"/>
      <c r="K91" s="18"/>
      <c r="L91" s="16"/>
    </row>
    <row r="92" spans="7:12" ht="21.75" customHeight="1" x14ac:dyDescent="0.2">
      <c r="G92" s="17"/>
      <c r="H92" s="18"/>
      <c r="I92" s="18"/>
      <c r="J92" s="18"/>
      <c r="K92" s="18"/>
      <c r="L92" s="16"/>
    </row>
    <row r="93" spans="7:12" ht="21.75" customHeight="1" x14ac:dyDescent="0.2">
      <c r="G93" s="17"/>
      <c r="H93" s="18"/>
      <c r="I93" s="18"/>
      <c r="J93" s="18"/>
      <c r="K93" s="18"/>
      <c r="L93" s="16"/>
    </row>
    <row r="94" spans="7:12" ht="21.75" customHeight="1" x14ac:dyDescent="0.2">
      <c r="G94" s="17"/>
      <c r="H94" s="18"/>
      <c r="I94" s="18"/>
      <c r="J94" s="18"/>
      <c r="K94" s="18"/>
      <c r="L94" s="16"/>
    </row>
    <row r="95" spans="7:12" ht="21.75" customHeight="1" x14ac:dyDescent="0.2">
      <c r="G95" s="17"/>
      <c r="H95" s="18"/>
      <c r="I95" s="18"/>
      <c r="J95" s="18"/>
      <c r="K95" s="18"/>
      <c r="L95" s="16"/>
    </row>
    <row r="96" spans="7:12" ht="21.75" customHeight="1" x14ac:dyDescent="0.2">
      <c r="G96" s="17"/>
      <c r="H96" s="18"/>
      <c r="I96" s="18"/>
      <c r="J96" s="18"/>
      <c r="K96" s="18"/>
      <c r="L96" s="16"/>
    </row>
    <row r="97" spans="7:12" ht="21.75" customHeight="1" x14ac:dyDescent="0.2">
      <c r="G97" s="17"/>
      <c r="H97" s="18"/>
      <c r="I97" s="18"/>
      <c r="J97" s="18"/>
      <c r="K97" s="18"/>
      <c r="L97" s="16"/>
    </row>
    <row r="98" spans="7:12" ht="21.75" customHeight="1" x14ac:dyDescent="0.2">
      <c r="G98" s="17"/>
      <c r="H98" s="18"/>
      <c r="I98" s="18"/>
      <c r="J98" s="18"/>
      <c r="K98" s="18"/>
      <c r="L98" s="16"/>
    </row>
    <row r="99" spans="7:12" ht="21.75" customHeight="1" x14ac:dyDescent="0.2">
      <c r="G99" s="17"/>
      <c r="H99" s="18"/>
      <c r="I99" s="18"/>
      <c r="J99" s="18"/>
      <c r="K99" s="18"/>
      <c r="L99" s="16"/>
    </row>
    <row r="100" spans="7:12" ht="21.75" customHeight="1" x14ac:dyDescent="0.2">
      <c r="G100" s="17"/>
      <c r="H100" s="18"/>
      <c r="I100" s="18"/>
      <c r="J100" s="18"/>
      <c r="K100" s="18"/>
      <c r="L100" s="16"/>
    </row>
    <row r="101" spans="7:12" ht="21.75" customHeight="1" x14ac:dyDescent="0.2">
      <c r="G101" s="17"/>
      <c r="H101" s="18"/>
      <c r="I101" s="18"/>
      <c r="J101" s="18"/>
      <c r="K101" s="18"/>
      <c r="L101" s="16"/>
    </row>
    <row r="102" spans="7:12" ht="21.75" customHeight="1" x14ac:dyDescent="0.2">
      <c r="G102" s="17"/>
      <c r="H102" s="18"/>
      <c r="I102" s="18"/>
      <c r="J102" s="18"/>
      <c r="K102" s="18"/>
      <c r="L102" s="16"/>
    </row>
    <row r="103" spans="7:12" ht="21.75" customHeight="1" x14ac:dyDescent="0.2">
      <c r="G103" s="17"/>
      <c r="H103" s="18"/>
      <c r="I103" s="18"/>
      <c r="J103" s="18"/>
      <c r="K103" s="18"/>
      <c r="L103" s="16"/>
    </row>
    <row r="104" spans="7:12" ht="21.75" customHeight="1" x14ac:dyDescent="0.2">
      <c r="G104" s="17"/>
      <c r="H104" s="18"/>
      <c r="I104" s="18"/>
      <c r="J104" s="18"/>
      <c r="K104" s="18"/>
      <c r="L104" s="16"/>
    </row>
    <row r="105" spans="7:12" ht="21.75" customHeight="1" x14ac:dyDescent="0.2">
      <c r="G105" s="17"/>
      <c r="H105" s="18"/>
      <c r="I105" s="18"/>
      <c r="J105" s="18"/>
      <c r="K105" s="18"/>
      <c r="L105" s="16"/>
    </row>
    <row r="106" spans="7:12" ht="21.75" customHeight="1" x14ac:dyDescent="0.2">
      <c r="G106" s="17"/>
      <c r="H106" s="18"/>
      <c r="I106" s="18"/>
      <c r="J106" s="18"/>
      <c r="K106" s="18"/>
      <c r="L106" s="16"/>
    </row>
    <row r="107" spans="7:12" ht="21.75" customHeight="1" x14ac:dyDescent="0.2">
      <c r="G107" s="17"/>
      <c r="H107" s="18"/>
      <c r="I107" s="18"/>
      <c r="J107" s="18"/>
      <c r="K107" s="18"/>
      <c r="L107" s="16"/>
    </row>
    <row r="108" spans="7:12" ht="21.75" customHeight="1" x14ac:dyDescent="0.2">
      <c r="G108" s="17"/>
      <c r="H108" s="18"/>
      <c r="I108" s="18"/>
      <c r="J108" s="18"/>
      <c r="K108" s="18"/>
      <c r="L108" s="16"/>
    </row>
    <row r="109" spans="7:12" ht="21.75" customHeight="1" x14ac:dyDescent="0.2">
      <c r="G109" s="17"/>
      <c r="H109" s="18"/>
      <c r="I109" s="18"/>
      <c r="J109" s="18"/>
      <c r="K109" s="18"/>
      <c r="L109" s="16"/>
    </row>
    <row r="110" spans="7:12" x14ac:dyDescent="0.2">
      <c r="G110" s="17"/>
      <c r="H110" s="18"/>
      <c r="I110" s="18"/>
      <c r="J110" s="18"/>
      <c r="K110" s="18"/>
      <c r="L110" s="16"/>
    </row>
    <row r="111" spans="7:12" x14ac:dyDescent="0.2">
      <c r="G111" s="17"/>
      <c r="H111" s="18"/>
      <c r="I111" s="18"/>
      <c r="J111" s="18"/>
      <c r="K111" s="18"/>
      <c r="L111" s="16"/>
    </row>
    <row r="112" spans="7:12" x14ac:dyDescent="0.2">
      <c r="G112" s="17"/>
      <c r="H112" s="18"/>
      <c r="I112" s="18"/>
      <c r="J112" s="18"/>
      <c r="K112" s="18"/>
      <c r="L112" s="16"/>
    </row>
    <row r="113" spans="7:12" x14ac:dyDescent="0.2">
      <c r="G113" s="17"/>
      <c r="H113" s="18"/>
      <c r="I113" s="18"/>
      <c r="J113" s="18"/>
      <c r="K113" s="18"/>
      <c r="L113" s="16"/>
    </row>
    <row r="114" spans="7:12" x14ac:dyDescent="0.2">
      <c r="G114" s="17"/>
      <c r="H114" s="18"/>
      <c r="I114" s="18"/>
      <c r="J114" s="18"/>
      <c r="K114" s="18"/>
      <c r="L114" s="16"/>
    </row>
    <row r="115" spans="7:12" x14ac:dyDescent="0.2">
      <c r="G115" s="17"/>
      <c r="H115" s="18"/>
      <c r="I115" s="18"/>
      <c r="J115" s="18"/>
      <c r="K115" s="18"/>
      <c r="L115" s="16"/>
    </row>
    <row r="116" spans="7:12" x14ac:dyDescent="0.2">
      <c r="G116" s="17"/>
      <c r="H116" s="18"/>
      <c r="I116" s="18"/>
      <c r="J116" s="18"/>
      <c r="K116" s="18"/>
      <c r="L116" s="16"/>
    </row>
    <row r="117" spans="7:12" x14ac:dyDescent="0.2">
      <c r="G117" s="17"/>
      <c r="H117" s="18"/>
      <c r="I117" s="18"/>
      <c r="J117" s="18"/>
      <c r="K117" s="18"/>
      <c r="L117" s="16"/>
    </row>
  </sheetData>
  <mergeCells count="5">
    <mergeCell ref="D1:G1"/>
    <mergeCell ref="H1:K1"/>
    <mergeCell ref="L1:N1"/>
    <mergeCell ref="O1:Q1"/>
    <mergeCell ref="AB1:A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BlockTypes</vt:lpstr>
      <vt:lpstr>BaseTypes</vt:lpstr>
      <vt:lpstr>UI</vt:lpstr>
      <vt:lpstr>BlockTypesHuman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</dc:creator>
  <cp:lastModifiedBy>Annie</cp:lastModifiedBy>
  <dcterms:created xsi:type="dcterms:W3CDTF">2013-08-17T20:01:50Z</dcterms:created>
  <dcterms:modified xsi:type="dcterms:W3CDTF">2013-11-24T20:06:28Z</dcterms:modified>
</cp:coreProperties>
</file>