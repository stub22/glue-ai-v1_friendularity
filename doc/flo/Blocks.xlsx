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8520" activeTab="2"/>
  </bookViews>
  <sheets>
    <sheet name="BlockTypes" sheetId="1" r:id="rId1"/>
    <sheet name="BaseTypes" sheetId="2" r:id="rId2"/>
    <sheet name="UI" sheetId="3" r:id="rId3"/>
  </sheets>
  <calcPr calcId="145621"/>
</workbook>
</file>

<file path=xl/calcChain.xml><?xml version="1.0" encoding="utf-8"?>
<calcChain xmlns="http://schemas.openxmlformats.org/spreadsheetml/2006/main">
  <c r="AH46" i="1" l="1"/>
  <c r="AH47" i="1"/>
  <c r="AH48" i="1"/>
  <c r="C47" i="1"/>
  <c r="D47" i="1"/>
  <c r="AH61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Q46" i="1" s="1"/>
  <c r="AO46" i="1"/>
  <c r="AP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J46" i="1"/>
  <c r="AK46" i="1"/>
  <c r="AL46" i="1"/>
  <c r="AM46" i="1"/>
  <c r="AG37" i="1"/>
  <c r="AG38" i="1" s="1"/>
  <c r="AH37" i="1"/>
  <c r="AH38" i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Z46" i="1"/>
  <c r="AA46" i="1"/>
  <c r="AB46" i="1"/>
  <c r="AD46" i="1" s="1"/>
  <c r="AC46" i="1"/>
  <c r="AE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5" i="1" l="1"/>
  <c r="AD45" i="1"/>
  <c r="AH45" i="1"/>
  <c r="AQ44" i="1"/>
  <c r="AH44" i="1"/>
  <c r="AQ43" i="1"/>
  <c r="AD43" i="1"/>
  <c r="AQ42" i="1"/>
  <c r="AD42" i="1"/>
  <c r="AP42" i="1"/>
  <c r="Z42" i="1"/>
  <c r="AH42" i="1"/>
  <c r="AQ41" i="1"/>
  <c r="AH41" i="1"/>
  <c r="AQ40" i="1"/>
  <c r="AH40" i="1" s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H6" i="1"/>
  <c r="AH10" i="1"/>
  <c r="AH12" i="1"/>
  <c r="AH14" i="1"/>
  <c r="AH15" i="1"/>
  <c r="AH19" i="1"/>
  <c r="AH22" i="1"/>
  <c r="AH31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H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H64" i="1"/>
  <c r="AB65" i="1"/>
  <c r="AC65" i="1"/>
  <c r="AE65" i="1"/>
  <c r="AH65" i="1"/>
  <c r="AB66" i="1"/>
  <c r="AC66" i="1"/>
  <c r="AE66" i="1"/>
  <c r="AH66" i="1"/>
  <c r="AB67" i="1"/>
  <c r="AC67" i="1"/>
  <c r="AE67" i="1"/>
  <c r="AH67" i="1"/>
  <c r="AB68" i="1"/>
  <c r="AC68" i="1"/>
  <c r="AE68" i="1"/>
  <c r="AH68" i="1"/>
  <c r="AB69" i="1"/>
  <c r="AC69" i="1"/>
  <c r="AE69" i="1"/>
  <c r="AH69" i="1"/>
  <c r="AB70" i="1"/>
  <c r="AC70" i="1"/>
  <c r="AE70" i="1"/>
  <c r="AH70" i="1"/>
  <c r="AB71" i="1"/>
  <c r="AC71" i="1"/>
  <c r="AE71" i="1"/>
  <c r="AH71" i="1"/>
  <c r="AB72" i="1"/>
  <c r="AC72" i="1"/>
  <c r="AE72" i="1"/>
  <c r="AH72" i="1"/>
  <c r="AB73" i="1"/>
  <c r="AC73" i="1"/>
  <c r="AE73" i="1"/>
  <c r="AH73" i="1"/>
  <c r="AB74" i="1"/>
  <c r="AC74" i="1"/>
  <c r="AE74" i="1"/>
  <c r="AH74" i="1"/>
  <c r="AB75" i="1"/>
  <c r="AC75" i="1"/>
  <c r="AE75" i="1"/>
  <c r="AH75" i="1"/>
  <c r="AB76" i="1"/>
  <c r="AC76" i="1"/>
  <c r="AE76" i="1"/>
  <c r="AH76" i="1"/>
  <c r="AB77" i="1"/>
  <c r="AC77" i="1"/>
  <c r="AE77" i="1"/>
  <c r="AH77" i="1"/>
  <c r="AB78" i="1"/>
  <c r="AC78" i="1"/>
  <c r="AE78" i="1"/>
  <c r="AH78" i="1"/>
  <c r="AB79" i="1"/>
  <c r="AC79" i="1"/>
  <c r="AE79" i="1"/>
  <c r="AH79" i="1"/>
  <c r="AB80" i="1"/>
  <c r="AC80" i="1"/>
  <c r="AE80" i="1"/>
  <c r="AH80" i="1"/>
  <c r="AB81" i="1"/>
  <c r="AC81" i="1"/>
  <c r="AE81" i="1"/>
  <c r="AH81" i="1"/>
  <c r="AB82" i="1"/>
  <c r="AC82" i="1"/>
  <c r="AE82" i="1"/>
  <c r="AH82" i="1"/>
  <c r="AB83" i="1"/>
  <c r="AC83" i="1"/>
  <c r="AE83" i="1"/>
  <c r="AH83" i="1"/>
  <c r="AB84" i="1"/>
  <c r="AC84" i="1"/>
  <c r="AE84" i="1"/>
  <c r="AH84" i="1"/>
  <c r="AB85" i="1"/>
  <c r="AC85" i="1"/>
  <c r="AE85" i="1"/>
  <c r="AH85" i="1"/>
  <c r="AB86" i="1"/>
  <c r="AC86" i="1"/>
  <c r="AE86" i="1"/>
  <c r="AH86" i="1"/>
  <c r="AB87" i="1"/>
  <c r="AC87" i="1"/>
  <c r="AE87" i="1"/>
  <c r="AH87" i="1"/>
  <c r="AB88" i="1"/>
  <c r="AC88" i="1"/>
  <c r="AE88" i="1"/>
  <c r="AH88" i="1"/>
  <c r="AB89" i="1"/>
  <c r="AC89" i="1"/>
  <c r="AE89" i="1"/>
  <c r="AH89" i="1"/>
  <c r="AB90" i="1"/>
  <c r="AC90" i="1"/>
  <c r="AE90" i="1"/>
  <c r="AH90" i="1"/>
  <c r="AB91" i="1"/>
  <c r="AC91" i="1"/>
  <c r="AE91" i="1"/>
  <c r="AH91" i="1"/>
  <c r="AB92" i="1"/>
  <c r="AC92" i="1"/>
  <c r="AE92" i="1"/>
  <c r="AH92" i="1"/>
  <c r="AB93" i="1"/>
  <c r="AC93" i="1"/>
  <c r="AE93" i="1"/>
  <c r="AH93" i="1"/>
  <c r="AB94" i="1"/>
  <c r="AC94" i="1"/>
  <c r="AE94" i="1"/>
  <c r="AH94" i="1"/>
  <c r="AB95" i="1"/>
  <c r="AC95" i="1"/>
  <c r="AE95" i="1"/>
  <c r="AH95" i="1"/>
  <c r="AB96" i="1"/>
  <c r="AC96" i="1"/>
  <c r="AE96" i="1"/>
  <c r="AH96" i="1"/>
  <c r="AB97" i="1"/>
  <c r="AC97" i="1"/>
  <c r="AE97" i="1"/>
  <c r="AH97" i="1"/>
  <c r="AB98" i="1"/>
  <c r="AC98" i="1"/>
  <c r="AE98" i="1"/>
  <c r="AH98" i="1"/>
  <c r="AB99" i="1"/>
  <c r="AC99" i="1"/>
  <c r="AE99" i="1"/>
  <c r="AH99" i="1"/>
  <c r="AB100" i="1"/>
  <c r="AC100" i="1"/>
  <c r="AE100" i="1"/>
  <c r="AH100" i="1"/>
  <c r="AB101" i="1"/>
  <c r="AC101" i="1"/>
  <c r="AE101" i="1"/>
  <c r="AH101" i="1"/>
  <c r="AB102" i="1"/>
  <c r="AC102" i="1"/>
  <c r="AE102" i="1"/>
  <c r="AH102" i="1"/>
  <c r="AB103" i="1"/>
  <c r="AC103" i="1"/>
  <c r="AE103" i="1"/>
  <c r="AH103" i="1"/>
  <c r="AB104" i="1"/>
  <c r="AC104" i="1"/>
  <c r="AE104" i="1"/>
  <c r="AH104" i="1"/>
  <c r="AB105" i="1"/>
  <c r="AC105" i="1"/>
  <c r="AE105" i="1"/>
  <c r="AH105" i="1"/>
  <c r="AB106" i="1"/>
  <c r="AC106" i="1"/>
  <c r="AE106" i="1"/>
  <c r="AH106" i="1"/>
  <c r="AB107" i="1"/>
  <c r="AC107" i="1"/>
  <c r="AE107" i="1"/>
  <c r="AH107" i="1"/>
  <c r="AB108" i="1"/>
  <c r="AC108" i="1"/>
  <c r="AE108" i="1"/>
  <c r="AH108" i="1"/>
  <c r="AB109" i="1"/>
  <c r="AC109" i="1"/>
  <c r="AE109" i="1"/>
  <c r="AH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Z58" i="1"/>
  <c r="Z50" i="1"/>
  <c r="Z32" i="1"/>
  <c r="Z24" i="1"/>
  <c r="Z16" i="1"/>
  <c r="Z8" i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AH3" i="1" s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H50" i="1" s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Z11" i="1"/>
  <c r="Z5" i="1"/>
  <c r="C53" i="1" l="1"/>
  <c r="AF41" i="1"/>
  <c r="AG42" i="1"/>
  <c r="AH52" i="1"/>
  <c r="AH51" i="1"/>
  <c r="AH13" i="1"/>
  <c r="AH11" i="1"/>
  <c r="AH7" i="1"/>
  <c r="AH49" i="1"/>
  <c r="C5" i="1"/>
  <c r="AE5" i="1" s="1"/>
  <c r="AH5" i="1" s="1"/>
  <c r="AE4" i="1"/>
  <c r="AH4" i="1" s="1"/>
  <c r="AG7" i="1"/>
  <c r="AF6" i="1"/>
  <c r="C9" i="1"/>
  <c r="C18" i="1"/>
  <c r="C54" i="1" l="1"/>
  <c r="AE53" i="1"/>
  <c r="AH53" i="1" s="1"/>
  <c r="AG43" i="1"/>
  <c r="AF42" i="1"/>
  <c r="C19" i="1"/>
  <c r="C20" i="1" s="1"/>
  <c r="AG8" i="1"/>
  <c r="AF7" i="1"/>
  <c r="C55" i="1" l="1"/>
  <c r="AE54" i="1"/>
  <c r="AH54" i="1" s="1"/>
  <c r="AF43" i="1"/>
  <c r="AE43" i="1" s="1"/>
  <c r="AH43" i="1" s="1"/>
  <c r="AG44" i="1"/>
  <c r="AG9" i="1"/>
  <c r="AF8" i="1"/>
  <c r="AE8" i="1" s="1"/>
  <c r="AH8" i="1" s="1"/>
  <c r="C21" i="1"/>
  <c r="AE20" i="1"/>
  <c r="AH20" i="1" s="1"/>
  <c r="C56" i="1" l="1"/>
  <c r="AE55" i="1"/>
  <c r="AH55" i="1" s="1"/>
  <c r="AF44" i="1"/>
  <c r="AG45" i="1"/>
  <c r="C22" i="1"/>
  <c r="C23" i="1" s="1"/>
  <c r="AG10" i="1"/>
  <c r="AF9" i="1"/>
  <c r="AE9" i="1" s="1"/>
  <c r="AH9" i="1" s="1"/>
  <c r="C57" i="1" l="1"/>
  <c r="C58" i="1" s="1"/>
  <c r="AE56" i="1"/>
  <c r="AH56" i="1" s="1"/>
  <c r="AG46" i="1"/>
  <c r="AF45" i="1"/>
  <c r="AG11" i="1"/>
  <c r="AF10" i="1"/>
  <c r="C24" i="1"/>
  <c r="AF46" i="1" l="1"/>
  <c r="AG47" i="1"/>
  <c r="C59" i="1"/>
  <c r="AE58" i="1"/>
  <c r="AH58" i="1" s="1"/>
  <c r="C25" i="1"/>
  <c r="AE24" i="1"/>
  <c r="AH24" i="1" s="1"/>
  <c r="AG12" i="1"/>
  <c r="AF11" i="1"/>
  <c r="C60" i="1" l="1"/>
  <c r="AE59" i="1"/>
  <c r="AH59" i="1" s="1"/>
  <c r="AG13" i="1"/>
  <c r="AF12" i="1"/>
  <c r="C26" i="1"/>
  <c r="C61" i="1" l="1"/>
  <c r="C62" i="1" s="1"/>
  <c r="AE60" i="1"/>
  <c r="AH60" i="1" s="1"/>
  <c r="C27" i="1"/>
  <c r="AG14" i="1"/>
  <c r="AF13" i="1"/>
  <c r="C63" i="1" l="1"/>
  <c r="AE62" i="1"/>
  <c r="AH62" i="1" s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AH63" i="1" s="1"/>
  <c r="C29" i="1"/>
  <c r="AG16" i="1"/>
  <c r="AF15" i="1"/>
  <c r="AG17" i="1" l="1"/>
  <c r="AF16" i="1"/>
  <c r="AE16" i="1" s="1"/>
  <c r="AH16" i="1" s="1"/>
  <c r="C30" i="1"/>
  <c r="C31" i="1" l="1"/>
  <c r="C32" i="1" s="1"/>
  <c r="AG18" i="1"/>
  <c r="AF17" i="1"/>
  <c r="AE17" i="1" s="1"/>
  <c r="AH17" i="1" s="1"/>
  <c r="AG19" i="1" l="1"/>
  <c r="AF18" i="1"/>
  <c r="AE18" i="1" s="1"/>
  <c r="AH18" i="1" s="1"/>
  <c r="C33" i="1"/>
  <c r="C34" i="1" l="1"/>
  <c r="AE33" i="1"/>
  <c r="AH33" i="1" s="1"/>
  <c r="AG20" i="1"/>
  <c r="AF19" i="1"/>
  <c r="AG21" i="1" l="1"/>
  <c r="AF20" i="1"/>
  <c r="C35" i="1"/>
  <c r="AE34" i="1"/>
  <c r="AH34" i="1" s="1"/>
  <c r="C36" i="1" l="1"/>
  <c r="AE36" i="1" s="1"/>
  <c r="AH36" i="1" s="1"/>
  <c r="AE35" i="1"/>
  <c r="AH35" i="1" s="1"/>
  <c r="AG22" i="1"/>
  <c r="AF21" i="1"/>
  <c r="AE21" i="1" s="1"/>
  <c r="AH21" i="1" s="1"/>
  <c r="AG23" i="1" l="1"/>
  <c r="AF22" i="1"/>
  <c r="AG24" i="1" l="1"/>
  <c r="AF23" i="1"/>
  <c r="AE23" i="1" s="1"/>
  <c r="AH23" i="1" s="1"/>
  <c r="AG25" i="1" l="1"/>
  <c r="AF24" i="1"/>
  <c r="AG26" i="1" l="1"/>
  <c r="AF25" i="1"/>
  <c r="AE25" i="1" s="1"/>
  <c r="AH25" i="1" s="1"/>
  <c r="AG27" i="1" l="1"/>
  <c r="AF26" i="1"/>
  <c r="AE26" i="1" s="1"/>
  <c r="AH26" i="1" s="1"/>
  <c r="AG28" i="1" l="1"/>
  <c r="AF27" i="1"/>
  <c r="AE27" i="1" s="1"/>
  <c r="AH27" i="1" s="1"/>
  <c r="AG29" i="1" l="1"/>
  <c r="AF28" i="1"/>
  <c r="AE28" i="1" s="1"/>
  <c r="AH28" i="1" s="1"/>
  <c r="AG30" i="1" l="1"/>
  <c r="AF29" i="1"/>
  <c r="AE29" i="1" s="1"/>
  <c r="AH29" i="1" s="1"/>
  <c r="AG31" i="1" l="1"/>
  <c r="AF30" i="1"/>
  <c r="AE30" i="1" s="1"/>
  <c r="AH30" i="1" s="1"/>
  <c r="AG32" i="1" l="1"/>
  <c r="AF31" i="1"/>
  <c r="AG33" i="1" l="1"/>
  <c r="AF32" i="1"/>
  <c r="AE32" i="1" s="1"/>
  <c r="AH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H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<sst xmlns="http://schemas.openxmlformats.org/spreadsheetml/2006/main" count="455" uniqueCount="246">
  <si>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</si>
  <si>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</si>
  <si>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</si>
  <si>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</si>
  <si>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</si>
  <si>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</si>
  <si>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</si>
  <si>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</si>
  <si>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</si>
  <si>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</si>
  <si>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</si>
  <si>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</si>
  <si>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</si>
  <si>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</si>
  <si>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</si>
  <si>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</si>
  <si>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</si>
  <si>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</si>
  <si>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</si>
  <si>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</si>
  <si>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</si>
  <si>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</si>
  <si>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</si>
  <si>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</si>
  <si>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</si>
  <si>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</si>
  <si>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</si>
  <si>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</si>
  <si>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</si>
  <si>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</si>
  <si>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</si>
  <si>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</si>
  <si>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</si>
  <si>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</si>
  <si>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</si>
  <si>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</si>
  <si>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</si>
  <si>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</si>
  <si>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</si>
  <si>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</si>
  <si>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</si>
  <si>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</si>
  <si>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</si>
  <si>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</si>
  <si>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</si>
  <si>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</si>
  <si>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</si>
  <si>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</si>
  <si>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</si>
  <si>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</si>
  <si>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</si>
  <si>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</si>
  <si>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</si>
  <si>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</si>
  <si>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</si>
  <si>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</si>
  <si>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</si>
  <si>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</si>
  <si>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</si>
  <si>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</si>
  <si>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</si>
  <si>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</si>
  <si>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</si>
  <si>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</si>
  <si>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</si>
  <si>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</si>
  <si>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</si>
  <si>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</si>
  <si>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</si>
  <si>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</si>
  <si>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</si>
  <si>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</si>
  <si>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</si>
  <si>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</si>
  <si>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</si>
  <si>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</si>
  <si>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</si>
  <si>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</si>
  <si>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</si>
  <si>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</si>
  <si>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</si>
  <si>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</si>
  <si>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</si>
  <si>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</si>
  <si>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</si>
  <si>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</si>
  <si>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</si>
  <si>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</si>
  <si>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</si>
  <si>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</si>
  <si>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</si>
  <si>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</si>
  <si>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</si>
  <si>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</si>
  <si>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</si>
  <si>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</si>
  <si>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</si>
  <si>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</si>
  <si>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</si>
  <si>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</si>
  <si>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</si>
  <si>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</si>
  <si>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</si>
  <si>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</si>
  <si>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</si>
  <si>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</si>
  <si>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</si>
  <si>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</si>
  <si>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</si>
  <si>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</si>
  <si>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</si>
  <si>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</si>
  <si>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</si>
  <si>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</si>
  <si>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</si>
  <si>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</si>
  <si>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</si>
  <si>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</si>
  <si>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</si>
  <si>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</si>
  <si>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</si>
  <si>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</si>
  <si>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</si>
  <si>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</si>
  <si>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</si>
  <si>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</si>
  <si>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</si>
  <si>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</si>
  <si>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</si>
  <si>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</si>
  <si>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</si>
  <si>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</si>
  <si>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</si>
  <si>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</si>
  <si>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</si>
  <si>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</si>
  <si>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</si>
  <si>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</si>
  <si>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</si>
  <si>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</si>
  <si>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</si>
  <si>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</si>
  <si>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</si>
  <si>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</si>
  <si>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</si>
  <si>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</si>
  <si>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</si>
  <si>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</si>
  <si>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</si>
  <si>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</si>
  <si>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</si>
  <si>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</si>
  <si>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</si>
  <si>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</si>
  <si>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</si>
  <si>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</si>
  <si>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</si>
  <si>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</si>
  <si>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</si>
  <si>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</si>
  <si>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</si>
  <si>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</si>
  <si>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</si>
  <si>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</si>
  <si>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</si>
  <si>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</si>
  <si>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</si>
  <si>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</si>
  <si>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</si>
  <si>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</si>
  <si>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</si>
  <si>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</si>
  <si>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</si>
  <si>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</si>
  <si>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</si>
  <si>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</si>
  <si>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</si>
  <si>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</si>
  <si>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</si>
  <si>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</si>
  <si>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</si>
  <si>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</si>
  <si>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</si>
  <si>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</si>
  <si>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</si>
  <si>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</si>
  <si>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</si>
  <si>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</si>
  <si>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</si>
  <si>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</si>
  <si>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</si>
  <si>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</si>
  <si>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</si>
  <si>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</si>
  <si>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</si>
  <si>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</si>
  <si>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</si>
  <si>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</si>
  <si>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</si>
  <si>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</si>
  <si>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</si>
  <si>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</si>
  <si>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</si>
  <si>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</si>
  <si>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</si>
  <si>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</si>
  <si>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</si>
  <si>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</si>
  <si>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</si>
  <si>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</si>
  <si>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</si>
  <si>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</si>
  <si>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</si>
  <si>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</si>
  <si>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</si>
  <si>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</si>
  <si>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</si>
  <si>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</si>
  <si>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</si>
  <si>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</si>
  <si>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</si>
  <si>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</si>
  <si>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</si>
  <si>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</si>
  <si>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</si>
  <si>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</si>
  <si>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</si>
  <si>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</si>
  <si>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</si>
  <si>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</si>
  <si>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</si>
  <si>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</si>
  <si>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</si>
  <si>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</si>
  <si>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</si>
  <si>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</si>
  <si>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</si>
  <si>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</si>
  <si>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flick pan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</si>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</sst>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0" fillId="3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17"/>
  <sheetViews>
    <sheetView topLeftCell="Q1" workbookViewId="0">
      <pane xSplit="8985" ySplit="540" topLeftCell="AU24" activePane="bottomRight"/>
      <selection activeCell="AW14" sqref="AW14"/>
      <selection pane="topRight" activeCell="AU1" sqref="AU1"/>
      <selection pane="bottomLeft" activeCell="T45" sqref="T45"/>
      <selection pane="bottomRight" activeCell="AW46" sqref="AW46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</cols>
  <sheetData>
    <row r="1" spans="1:53" ht="14.25" customHeight="1" x14ac:dyDescent="0.2">
      <c r="A1" s="2" t="s">
        <v>0</v>
      </c>
      <c r="F1" s="12" t="s">
        <v>1</v>
      </c>
      <c r="G1" s="12"/>
      <c r="H1" s="12"/>
      <c r="I1" s="12"/>
      <c r="J1" s="12" t="s">
        <v>156</v>
      </c>
      <c r="K1" s="12"/>
      <c r="L1" s="12"/>
      <c r="M1" s="12"/>
      <c r="N1" s="12" t="s">
        <v>2</v>
      </c>
      <c r="O1" s="12"/>
      <c r="P1" s="12"/>
      <c r="Q1" s="12" t="s">
        <v>157</v>
      </c>
      <c r="R1" s="12"/>
      <c r="S1" s="12"/>
      <c r="T1" s="2" t="s">
        <v>3</v>
      </c>
      <c r="U1" s="2" t="s">
        <v>4</v>
      </c>
      <c r="AH1" t="s">
        <v>164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</row>
    <row r="2" spans="1:53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3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  <c r="AW3">
        <v>0</v>
      </c>
      <c r="AX3">
        <v>0</v>
      </c>
      <c r="AY3">
        <v>2</v>
      </c>
      <c r="AZ3">
        <v>1</v>
      </c>
      <c r="BA3">
        <v>1</v>
      </c>
    </row>
    <row r="4" spans="1:53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3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167</v>
      </c>
      <c r="AW4">
        <v>0</v>
      </c>
      <c r="AX4">
        <v>1</v>
      </c>
      <c r="AY4">
        <v>2</v>
      </c>
      <c r="AZ4">
        <v>1</v>
      </c>
      <c r="BA4">
        <v>1</v>
      </c>
    </row>
    <row r="5" spans="1:53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4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</row>
    <row r="6" spans="1:53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4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</row>
    <row r="7" spans="1:53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4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  <c r="AW7">
        <v>0</v>
      </c>
      <c r="AX7">
        <v>2</v>
      </c>
      <c r="AY7">
        <v>2</v>
      </c>
      <c r="AZ7">
        <v>1</v>
      </c>
      <c r="BA7">
        <v>1</v>
      </c>
    </row>
    <row r="8" spans="1:53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4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</row>
    <row r="9" spans="1:53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4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</row>
    <row r="10" spans="1:53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4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</row>
    <row r="11" spans="1:53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4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</row>
    <row r="12" spans="1:53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4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</row>
    <row r="13" spans="1:53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4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</row>
    <row r="14" spans="1:53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4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</row>
    <row r="15" spans="1:53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4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</row>
    <row r="16" spans="1:53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4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</row>
    <row r="17" spans="2:45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4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</row>
    <row r="18" spans="2:45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4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</row>
    <row r="19" spans="2:45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4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</row>
    <row r="20" spans="2:45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4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</row>
    <row r="21" spans="2:45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4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</row>
    <row r="22" spans="2:45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4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</row>
    <row r="23" spans="2:45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4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</row>
    <row r="24" spans="2:45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4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[]).&lt;&gt;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</v>
      </c>
      <c r="AN24" t="str">
        <f t="shared" si="20"/>
        <v/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[]</v>
      </c>
      <c r="AS24">
        <v>1</v>
      </c>
    </row>
    <row r="25" spans="2:45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4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</v>
      </c>
      <c r="AN25" t="str">
        <f t="shared" si="20"/>
        <v/>
      </c>
      <c r="AO25" s="11" t="str">
        <f t="shared" si="21"/>
        <v/>
      </c>
      <c r="AP25" t="str">
        <f t="shared" si="22"/>
        <v>[]</v>
      </c>
      <c r="AQ25" t="str">
        <f t="shared" si="23"/>
        <v>[]</v>
      </c>
      <c r="AS25">
        <v>1</v>
      </c>
    </row>
    <row r="26" spans="2:45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4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</row>
    <row r="27" spans="2:45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4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</row>
    <row r="28" spans="2:45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4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</row>
    <row r="29" spans="2:45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4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</row>
    <row r="30" spans="2:45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4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</row>
    <row r="31" spans="2:45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4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</row>
    <row r="32" spans="2:45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4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</row>
    <row r="33" spans="1:53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4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</row>
    <row r="34" spans="1:53" ht="14.25" customHeight="1" x14ac:dyDescent="0.2">
      <c r="C34" s="1" t="str">
        <f t="shared" ref="C34:C62" si="25">IF(ISBLANK(A34),C33,A34)</f>
        <v>I/O</v>
      </c>
      <c r="D34" s="1" t="str">
        <f t="shared" ref="D34:D62" si="26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4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</row>
    <row r="35" spans="1:53" ht="14.25" customHeight="1" x14ac:dyDescent="0.2">
      <c r="C35" s="1" t="str">
        <f t="shared" si="25"/>
        <v>I/O</v>
      </c>
      <c r="D35" s="1" t="str">
        <f t="shared" si="26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4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</row>
    <row r="36" spans="1:53" ht="14.25" customHeight="1" x14ac:dyDescent="0.2">
      <c r="C36" s="1" t="str">
        <f t="shared" si="25"/>
        <v>I/O</v>
      </c>
      <c r="D36" s="1" t="str">
        <f t="shared" si="26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4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</row>
    <row r="37" spans="1:53" ht="14.25" customHeight="1" x14ac:dyDescent="0.2">
      <c r="A37" s="2" t="s">
        <v>217</v>
      </c>
      <c r="B37" s="2" t="s">
        <v>218</v>
      </c>
      <c r="C37" s="1" t="str">
        <f t="shared" ref="C37:C46" si="27">IF(ISBLANK(A37),C36,A37)</f>
        <v>connector</v>
      </c>
      <c r="D37" s="1" t="str">
        <f t="shared" ref="D37:D46" si="28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29">"["&amp;IF(RIGHT(F37,5)="(opt)","optional('"&amp;LEFT(F37,LEN(F37)-5)&amp;"')",IF(ISBLANK(F37),"","required('"&amp;F37&amp;"')"))</f>
        <v>[</v>
      </c>
      <c r="W37" s="9" t="str">
        <f t="shared" ref="W37:W46" si="30">IF(RIGHT(G37,5)="(opt)",", optional('"&amp;LEFT(G37, LEN(G37)-5)&amp;"')",IF(ISBLANK(G37),"",", required('"&amp;G37&amp;"')"))</f>
        <v/>
      </c>
      <c r="X37" s="9" t="str">
        <f t="shared" ref="X37:X46" si="31">IF(RIGHT(H37,5)="(opt)",", optional('"&amp;LEFT(H37, LEN(H37)-5)&amp;"')",IF(ISBLANK(H37),"",", required('"&amp;H37&amp;"')"))</f>
        <v/>
      </c>
      <c r="Y37" s="9" t="str">
        <f t="shared" ref="Y37:Y46" si="32">IF(RIGHT(I37,5)="(opt)",", optional('"&amp;LEFT(I37, LEN(I37)-5)&amp;"')",IF(ISBLANK(I37),"",", required('"&amp;I37&amp;"')"))</f>
        <v/>
      </c>
      <c r="Z37" t="str">
        <f t="shared" ref="Z37:Z46" si="33">V37&amp;W37&amp;X37&amp;"]"</f>
        <v>[]</v>
      </c>
      <c r="AA37" s="1" t="str">
        <f t="shared" ref="AA37:AA46" si="34">"["&amp;IF(ISBLANK(N37),"", "'"&amp;N37&amp;"'")</f>
        <v>[</v>
      </c>
      <c r="AB37" t="str">
        <f t="shared" ref="AB37:AB46" si="35">IF(ISBLANK(O37),"",", '"&amp;O37&amp;"'")</f>
        <v/>
      </c>
      <c r="AC37" t="str">
        <f t="shared" ref="AC37:AC46" si="36">IF(ISBLANK(P37),"",", '"&amp;P37&amp;"'")</f>
        <v/>
      </c>
      <c r="AD37" t="str">
        <f t="shared" ref="AD37:AD46" si="37">AA37&amp;AB37&amp;AC37&amp;"]"</f>
        <v>[]</v>
      </c>
      <c r="AE37" t="str">
        <f t="shared" ref="AE37:AE46" si="38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39">"visual_style"&amp;AG37</f>
        <v>visual_style14</v>
      </c>
      <c r="AG37">
        <f t="shared" ref="AG37:AG47" si="40">IF(ISBLANK(U36),AG36,AG36+1)</f>
        <v>14</v>
      </c>
      <c r="AH37" t="str">
        <f t="shared" ref="AH37:AH48" si="41">IF(ISBLANK(E37),"","&lt;&gt;%  ===== "&amp;E37&amp;" ===========&lt;&gt;"&amp;AE37&amp;").&lt;&gt;inputs("&amp;E37&amp;", "&amp;Z37&amp;").&lt;&gt;outputs("&amp;E37&amp;", "&amp;AD37&amp;").&lt;&gt;input_types("&amp;E37&amp;", "&amp;AP37&amp;").&lt;&gt;output_types("&amp;E37&amp;", "&amp;AQ37&amp;").&lt;&gt;")</f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</row>
    <row r="38" spans="1:53" ht="14.25" customHeight="1" x14ac:dyDescent="0.2">
      <c r="B38" s="2" t="s">
        <v>218</v>
      </c>
      <c r="C38" s="1" t="str">
        <f t="shared" si="27"/>
        <v>connector</v>
      </c>
      <c r="D38" s="1" t="str">
        <f t="shared" si="28"/>
        <v>pipe</v>
      </c>
      <c r="I38" s="3"/>
      <c r="J38" s="10"/>
      <c r="K38" s="10"/>
      <c r="L38" s="10"/>
      <c r="M38" s="10"/>
      <c r="N38" s="4"/>
      <c r="V38" s="9" t="str">
        <f t="shared" si="29"/>
        <v>[</v>
      </c>
      <c r="W38" s="9" t="str">
        <f t="shared" si="30"/>
        <v/>
      </c>
      <c r="X38" s="9" t="str">
        <f t="shared" si="31"/>
        <v/>
      </c>
      <c r="Y38" s="9" t="str">
        <f t="shared" si="32"/>
        <v/>
      </c>
      <c r="Z38" t="str">
        <f t="shared" si="33"/>
        <v>[]</v>
      </c>
      <c r="AA38" s="1" t="str">
        <f t="shared" si="34"/>
        <v>[</v>
      </c>
      <c r="AB38" t="str">
        <f t="shared" si="35"/>
        <v/>
      </c>
      <c r="AC38" t="str">
        <f t="shared" si="36"/>
        <v/>
      </c>
      <c r="AD38" t="str">
        <f t="shared" si="37"/>
        <v>[]</v>
      </c>
      <c r="AE38" t="str">
        <f t="shared" si="38"/>
        <v/>
      </c>
      <c r="AF38" t="str">
        <f t="shared" si="39"/>
        <v>visual_style14</v>
      </c>
      <c r="AG38">
        <f t="shared" si="40"/>
        <v>14</v>
      </c>
      <c r="AH38" t="str">
        <f t="shared" si="41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</row>
    <row r="39" spans="1:53" ht="14.25" customHeight="1" x14ac:dyDescent="0.2">
      <c r="C39" s="1" t="str">
        <f t="shared" si="27"/>
        <v>connector</v>
      </c>
      <c r="D39" s="1" t="str">
        <f t="shared" si="28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29"/>
        <v>[required('A')</v>
      </c>
      <c r="W39" s="9" t="str">
        <f t="shared" si="30"/>
        <v/>
      </c>
      <c r="X39" s="9" t="str">
        <f t="shared" si="31"/>
        <v/>
      </c>
      <c r="Y39" s="9" t="str">
        <f t="shared" si="32"/>
        <v/>
      </c>
      <c r="Z39" t="str">
        <f t="shared" si="33"/>
        <v>[required('A')]</v>
      </c>
      <c r="AA39" s="1" t="str">
        <f t="shared" si="34"/>
        <v>['O'</v>
      </c>
      <c r="AB39" t="str">
        <f t="shared" si="35"/>
        <v/>
      </c>
      <c r="AC39" t="str">
        <f t="shared" si="36"/>
        <v/>
      </c>
      <c r="AD39" t="str">
        <f t="shared" si="37"/>
        <v>['O']</v>
      </c>
      <c r="AE39" t="str">
        <f t="shared" si="38"/>
        <v>section(drbend, 'connector').&lt;&gt;subsection(drbend, 'pipe').&lt;&gt;description(drbend, 'bidi pipe connection').&lt;&gt;visual_style(drbend,  visual_style14</v>
      </c>
      <c r="AF39" t="str">
        <f t="shared" si="39"/>
        <v>visual_style14</v>
      </c>
      <c r="AG39">
        <f t="shared" si="40"/>
        <v>14</v>
      </c>
      <c r="AH39" t="str">
        <f t="shared" si="41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</row>
    <row r="40" spans="1:53" ht="14.25" customHeight="1" x14ac:dyDescent="0.2">
      <c r="C40" s="1" t="str">
        <f t="shared" si="27"/>
        <v>connector</v>
      </c>
      <c r="D40" s="1" t="str">
        <f t="shared" si="28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29"/>
        <v>[required('A')</v>
      </c>
      <c r="W40" s="9" t="str">
        <f t="shared" si="30"/>
        <v/>
      </c>
      <c r="X40" s="9" t="str">
        <f t="shared" si="31"/>
        <v/>
      </c>
      <c r="Y40" s="9" t="str">
        <f t="shared" si="32"/>
        <v/>
      </c>
      <c r="Z40" t="str">
        <f t="shared" si="33"/>
        <v>[required('A')]</v>
      </c>
      <c r="AA40" s="1" t="str">
        <f t="shared" si="34"/>
        <v>['O'</v>
      </c>
      <c r="AB40" t="str">
        <f t="shared" si="35"/>
        <v/>
      </c>
      <c r="AC40" t="str">
        <f t="shared" si="36"/>
        <v/>
      </c>
      <c r="AD40" t="str">
        <f t="shared" si="37"/>
        <v>['O']</v>
      </c>
      <c r="AE40" t="str">
        <f t="shared" si="38"/>
        <v>section(dlbend, 'connector').&lt;&gt;subsection(dlbend, 'pipe').&lt;&gt;description(dlbend, 'bidi pipe connection').&lt;&gt;visual_style(dlbend,  visual_style15</v>
      </c>
      <c r="AF40" t="str">
        <f t="shared" si="39"/>
        <v>visual_style15</v>
      </c>
      <c r="AG40">
        <f t="shared" si="40"/>
        <v>15</v>
      </c>
      <c r="AH40" t="str">
        <f t="shared" si="41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</row>
    <row r="41" spans="1:53" ht="14.25" customHeight="1" x14ac:dyDescent="0.2">
      <c r="C41" s="1" t="str">
        <f t="shared" si="27"/>
        <v>connector</v>
      </c>
      <c r="D41" s="1" t="str">
        <f t="shared" si="28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29"/>
        <v>[required('A')</v>
      </c>
      <c r="W41" s="9" t="str">
        <f t="shared" si="30"/>
        <v/>
      </c>
      <c r="X41" s="9" t="str">
        <f t="shared" si="31"/>
        <v/>
      </c>
      <c r="Y41" s="9" t="str">
        <f t="shared" si="32"/>
        <v/>
      </c>
      <c r="Z41" t="str">
        <f t="shared" si="33"/>
        <v>[required('A')]</v>
      </c>
      <c r="AA41" s="1" t="str">
        <f t="shared" si="34"/>
        <v>['O'</v>
      </c>
      <c r="AB41" t="str">
        <f t="shared" si="35"/>
        <v/>
      </c>
      <c r="AC41" t="str">
        <f t="shared" si="36"/>
        <v/>
      </c>
      <c r="AD41" t="str">
        <f t="shared" si="37"/>
        <v>['O']</v>
      </c>
      <c r="AE41" t="str">
        <f t="shared" si="38"/>
        <v>section(horpipe, 'connector').&lt;&gt;subsection(horpipe, 'pipe').&lt;&gt;description(horpipe, 'bidi pipe connection').&lt;&gt;visual_style(horpipe,  visual_style16</v>
      </c>
      <c r="AF41" t="str">
        <f t="shared" si="39"/>
        <v>visual_style16</v>
      </c>
      <c r="AG41">
        <f t="shared" si="40"/>
        <v>16</v>
      </c>
      <c r="AH41" t="str">
        <f t="shared" si="41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</row>
    <row r="42" spans="1:53" ht="14.25" customHeight="1" x14ac:dyDescent="0.2">
      <c r="C42" s="1" t="str">
        <f t="shared" si="27"/>
        <v>connector</v>
      </c>
      <c r="D42" s="1" t="str">
        <f t="shared" si="28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29"/>
        <v>[required('A')</v>
      </c>
      <c r="W42" s="9" t="str">
        <f t="shared" si="30"/>
        <v>, required('B')</v>
      </c>
      <c r="X42" s="9" t="str">
        <f t="shared" si="31"/>
        <v/>
      </c>
      <c r="Y42" s="9" t="str">
        <f t="shared" si="32"/>
        <v/>
      </c>
      <c r="Z42" t="str">
        <f t="shared" si="33"/>
        <v>[required('A'), required('B')]</v>
      </c>
      <c r="AA42" s="1" t="str">
        <f t="shared" si="34"/>
        <v>['OA'</v>
      </c>
      <c r="AB42" t="str">
        <f t="shared" si="35"/>
        <v>, 'OB'</v>
      </c>
      <c r="AC42" t="str">
        <f t="shared" si="36"/>
        <v/>
      </c>
      <c r="AD42" t="str">
        <f t="shared" si="37"/>
        <v>['OA', 'OB']</v>
      </c>
      <c r="AE42" t="str">
        <f t="shared" si="38"/>
        <v>section(cross, 'connector').&lt;&gt;subsection(cross, 'pipe').&lt;&gt;description(cross, 'bidi pipe connection').&lt;&gt;visual_style(cross,  visual_style17</v>
      </c>
      <c r="AF42" t="str">
        <f t="shared" si="39"/>
        <v>visual_style17</v>
      </c>
      <c r="AG42">
        <f t="shared" si="40"/>
        <v>17</v>
      </c>
      <c r="AH42" t="str">
        <f t="shared" si="41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</row>
    <row r="43" spans="1:53" ht="14.25" customHeight="1" x14ac:dyDescent="0.2">
      <c r="C43" s="1" t="str">
        <f t="shared" si="27"/>
        <v>connector</v>
      </c>
      <c r="D43" s="1" t="str">
        <f t="shared" si="28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29"/>
        <v>[required('A')</v>
      </c>
      <c r="W43" s="9" t="str">
        <f t="shared" si="30"/>
        <v/>
      </c>
      <c r="X43" s="9" t="str">
        <f t="shared" si="31"/>
        <v/>
      </c>
      <c r="Y43" s="9" t="str">
        <f t="shared" si="32"/>
        <v/>
      </c>
      <c r="Z43" t="str">
        <f t="shared" si="33"/>
        <v>[required('A')]</v>
      </c>
      <c r="AA43" s="1" t="str">
        <f t="shared" si="34"/>
        <v>['O'</v>
      </c>
      <c r="AB43" t="str">
        <f t="shared" si="35"/>
        <v/>
      </c>
      <c r="AC43" t="str">
        <f t="shared" si="36"/>
        <v/>
      </c>
      <c r="AD43" t="str">
        <f t="shared" si="37"/>
        <v>['O']</v>
      </c>
      <c r="AE43" t="str">
        <f t="shared" si="38"/>
        <v>section(urbend, 'connector').&lt;&gt;subsection(urbend, 'pipe').&lt;&gt;description(urbend, 'bidi pipe connection').&lt;&gt;visual_style(urbend,  visual_style18</v>
      </c>
      <c r="AF43" t="str">
        <f t="shared" si="39"/>
        <v>visual_style18</v>
      </c>
      <c r="AG43">
        <f t="shared" si="40"/>
        <v>18</v>
      </c>
      <c r="AH43" t="str">
        <f t="shared" si="41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</row>
    <row r="44" spans="1:53" ht="14.25" customHeight="1" x14ac:dyDescent="0.2">
      <c r="C44" s="1" t="str">
        <f t="shared" si="27"/>
        <v>connector</v>
      </c>
      <c r="D44" s="1" t="str">
        <f t="shared" si="28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29"/>
        <v>[required('A')</v>
      </c>
      <c r="W44" s="9" t="str">
        <f t="shared" si="30"/>
        <v/>
      </c>
      <c r="X44" s="9" t="str">
        <f t="shared" si="31"/>
        <v/>
      </c>
      <c r="Y44" s="9" t="str">
        <f t="shared" si="32"/>
        <v/>
      </c>
      <c r="Z44" t="str">
        <f t="shared" si="33"/>
        <v>[required('A')]</v>
      </c>
      <c r="AA44" s="1" t="str">
        <f t="shared" si="34"/>
        <v>['O'</v>
      </c>
      <c r="AB44" t="str">
        <f t="shared" si="35"/>
        <v/>
      </c>
      <c r="AC44" t="str">
        <f t="shared" si="36"/>
        <v/>
      </c>
      <c r="AD44" t="str">
        <f t="shared" si="37"/>
        <v>['O']</v>
      </c>
      <c r="AE44" t="str">
        <f t="shared" si="38"/>
        <v>section(ulbend, 'connector').&lt;&gt;subsection(ulbend, 'pipe').&lt;&gt;description(ulbend, 'bidi pipe connection').&lt;&gt;visual_style(ulbend,  visual_style19</v>
      </c>
      <c r="AF44" t="str">
        <f t="shared" si="39"/>
        <v>visual_style19</v>
      </c>
      <c r="AG44">
        <f t="shared" si="40"/>
        <v>19</v>
      </c>
      <c r="AH44" t="str">
        <f t="shared" si="41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</row>
    <row r="45" spans="1:53" ht="14.25" customHeight="1" x14ac:dyDescent="0.2">
      <c r="C45" s="1" t="str">
        <f t="shared" si="27"/>
        <v>connector</v>
      </c>
      <c r="D45" s="1" t="str">
        <f t="shared" si="28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V45" s="9" t="str">
        <f t="shared" si="29"/>
        <v>[required('A')</v>
      </c>
      <c r="W45" s="9" t="str">
        <f t="shared" si="30"/>
        <v/>
      </c>
      <c r="X45" s="9" t="str">
        <f t="shared" si="31"/>
        <v/>
      </c>
      <c r="Y45" s="9" t="str">
        <f t="shared" si="32"/>
        <v/>
      </c>
      <c r="Z45" t="str">
        <f t="shared" si="33"/>
        <v>[required('A')]</v>
      </c>
      <c r="AA45" s="1" t="str">
        <f t="shared" si="34"/>
        <v>['OA'</v>
      </c>
      <c r="AB45" t="str">
        <f t="shared" si="35"/>
        <v>, 'OB'</v>
      </c>
      <c r="AC45" t="str">
        <f t="shared" si="36"/>
        <v>, 'OC'</v>
      </c>
      <c r="AD45" t="str">
        <f t="shared" si="37"/>
        <v>['OA', 'OB', 'OC']</v>
      </c>
      <c r="AE45" t="str">
        <f t="shared" si="38"/>
        <v>section(distributor, 'connector').&lt;&gt;subsection(distributor, 'pipe').&lt;&gt;description(distributor, '').&lt;&gt;visual_style(distributor,  normal</v>
      </c>
      <c r="AF45" t="str">
        <f t="shared" si="39"/>
        <v>visual_style20</v>
      </c>
      <c r="AG45">
        <f t="shared" si="40"/>
        <v>20</v>
      </c>
      <c r="AH45" t="str">
        <f t="shared" si="41"/>
        <v>&lt;&gt;%  ===== distributor ===========&lt;&gt;section(distributor, 'connector').&lt;&gt;subsection(distributor, 'pipe').&lt;&gt;description(distributor, '').&lt;&gt;visual_style(distributor,  normal).&lt;&gt;inputs(distributor, [required('A')]).&lt;&gt;outputs(distributor, ['OA', 'OB', 'OC']).&lt;&gt;input_types(distributor, [any]).&lt;&gt;output_types(distributor, [any, any, any]).&lt;&gt;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</row>
    <row r="46" spans="1:53" ht="14.25" customHeight="1" x14ac:dyDescent="0.2">
      <c r="C46" s="1" t="str">
        <f t="shared" si="27"/>
        <v>connector</v>
      </c>
      <c r="D46" s="1" t="str">
        <f t="shared" si="28"/>
        <v>pipe</v>
      </c>
      <c r="I46" s="3"/>
      <c r="J46" s="10"/>
      <c r="K46" s="10"/>
      <c r="L46" s="10"/>
      <c r="M46" s="10"/>
      <c r="N46" s="4"/>
      <c r="V46" s="9" t="str">
        <f t="shared" si="29"/>
        <v>[</v>
      </c>
      <c r="W46" s="9" t="str">
        <f t="shared" si="30"/>
        <v/>
      </c>
      <c r="X46" s="9" t="str">
        <f t="shared" si="31"/>
        <v/>
      </c>
      <c r="Y46" s="9" t="str">
        <f t="shared" si="32"/>
        <v/>
      </c>
      <c r="Z46" t="str">
        <f t="shared" si="33"/>
        <v>[]</v>
      </c>
      <c r="AA46" s="1" t="str">
        <f t="shared" si="34"/>
        <v>[</v>
      </c>
      <c r="AB46" t="str">
        <f t="shared" si="35"/>
        <v/>
      </c>
      <c r="AC46" t="str">
        <f t="shared" si="36"/>
        <v/>
      </c>
      <c r="AD46" t="str">
        <f t="shared" si="37"/>
        <v>[]</v>
      </c>
      <c r="AE46" t="str">
        <f t="shared" si="38"/>
        <v/>
      </c>
      <c r="AF46" t="str">
        <f t="shared" si="39"/>
        <v>visual_style20</v>
      </c>
      <c r="AG46">
        <f t="shared" si="40"/>
        <v>20</v>
      </c>
      <c r="AH46" t="str">
        <f t="shared" si="41"/>
        <v/>
      </c>
      <c r="AI46" t="str">
        <f t="shared" si="42"/>
        <v>[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</v>
      </c>
      <c r="AN46" t="str">
        <f t="shared" si="47"/>
        <v/>
      </c>
      <c r="AO46" s="11" t="str">
        <f t="shared" si="48"/>
        <v/>
      </c>
      <c r="AP46" t="str">
        <f t="shared" si="49"/>
        <v>[]</v>
      </c>
      <c r="AQ46" t="str">
        <f t="shared" si="50"/>
        <v>[]</v>
      </c>
    </row>
    <row r="47" spans="1:53" ht="14.25" customHeight="1" x14ac:dyDescent="0.2">
      <c r="A47" s="2" t="s">
        <v>89</v>
      </c>
      <c r="C47" s="1" t="str">
        <f t="shared" ref="C47" si="51">IF(ISBLANK(A47),C46,A47)</f>
        <v>CV</v>
      </c>
      <c r="D47" s="1" t="str">
        <f t="shared" ref="D47" si="52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visual_style20</v>
      </c>
      <c r="AG47">
        <f t="shared" si="40"/>
        <v>20</v>
      </c>
      <c r="AH47" t="str">
        <f t="shared" si="41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</row>
    <row r="48" spans="1:53" ht="14.25" customHeight="1" x14ac:dyDescent="0.2">
      <c r="B48" s="2" t="s">
        <v>90</v>
      </c>
      <c r="C48" s="1" t="str">
        <f t="shared" si="25"/>
        <v>CV</v>
      </c>
      <c r="D48" s="1" t="str">
        <f t="shared" si="26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visual_style20</v>
      </c>
      <c r="AG48">
        <f t="shared" si="24"/>
        <v>20</v>
      </c>
      <c r="AH48" t="str">
        <f t="shared" si="41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</row>
    <row r="49" spans="1:46" ht="14.25" customHeight="1" x14ac:dyDescent="0.2">
      <c r="C49" s="1" t="str">
        <f t="shared" si="25"/>
        <v>CV</v>
      </c>
      <c r="D49" s="1" t="str">
        <f t="shared" si="26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visual_style20</v>
      </c>
      <c r="AG49">
        <f t="shared" si="24"/>
        <v>20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</row>
    <row r="50" spans="1:46" ht="14.25" customHeight="1" x14ac:dyDescent="0.2">
      <c r="C50" s="1" t="str">
        <f t="shared" si="25"/>
        <v>CV</v>
      </c>
      <c r="D50" s="1" t="str">
        <f t="shared" si="26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visual_style20</v>
      </c>
      <c r="AG50">
        <f t="shared" si="24"/>
        <v>20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</row>
    <row r="51" spans="1:46" ht="14.25" customHeight="1" x14ac:dyDescent="0.2">
      <c r="C51" s="1" t="str">
        <f t="shared" si="25"/>
        <v>CV</v>
      </c>
      <c r="D51" s="1" t="str">
        <f t="shared" si="26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visual_style20</v>
      </c>
      <c r="AG51">
        <f t="shared" si="24"/>
        <v>20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</row>
    <row r="52" spans="1:46" ht="14.25" customHeight="1" x14ac:dyDescent="0.2">
      <c r="C52" s="1" t="str">
        <f t="shared" si="25"/>
        <v>CV</v>
      </c>
      <c r="D52" s="1" t="str">
        <f t="shared" si="26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visual_style20</v>
      </c>
      <c r="AG52">
        <f t="shared" si="24"/>
        <v>20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</row>
    <row r="53" spans="1:46" ht="14.25" customHeight="1" x14ac:dyDescent="0.2">
      <c r="C53" s="1" t="str">
        <f t="shared" si="25"/>
        <v>CV</v>
      </c>
      <c r="D53" s="1" t="str">
        <f t="shared" si="26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visual_style20</v>
      </c>
      <c r="AG53">
        <f t="shared" si="24"/>
        <v>20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</row>
    <row r="54" spans="1:46" ht="14.25" customHeight="1" x14ac:dyDescent="0.2">
      <c r="C54" s="1" t="str">
        <f t="shared" si="25"/>
        <v>CV</v>
      </c>
      <c r="D54" s="1" t="str">
        <f t="shared" si="26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visual_style20</v>
      </c>
      <c r="AG54">
        <f t="shared" si="24"/>
        <v>20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</row>
    <row r="55" spans="1:46" ht="14.25" customHeight="1" x14ac:dyDescent="0.2">
      <c r="C55" s="1" t="str">
        <f t="shared" si="25"/>
        <v>CV</v>
      </c>
      <c r="D55" s="1" t="str">
        <f t="shared" si="26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visual_style20</v>
      </c>
      <c r="AG55">
        <f t="shared" si="24"/>
        <v>20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</row>
    <row r="56" spans="1:46" ht="14.25" customHeight="1" x14ac:dyDescent="0.2">
      <c r="C56" s="1" t="str">
        <f t="shared" si="25"/>
        <v>CV</v>
      </c>
      <c r="D56" s="1" t="str">
        <f t="shared" si="26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visual_style20</v>
      </c>
      <c r="AG56">
        <f t="shared" si="24"/>
        <v>20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</row>
    <row r="57" spans="1:46" ht="14.25" customHeight="1" x14ac:dyDescent="0.2">
      <c r="C57" s="1" t="str">
        <f t="shared" si="25"/>
        <v>CV</v>
      </c>
      <c r="D57" s="1" t="str">
        <f t="shared" si="26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visual_style20</v>
      </c>
      <c r="AF57" t="str">
        <f t="shared" si="13"/>
        <v>visual_style20</v>
      </c>
      <c r="AG57">
        <f t="shared" si="24"/>
        <v>20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visual_style20).&lt;&gt;inputs(pixel,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</row>
    <row r="58" spans="1:46" ht="14.25" customHeight="1" x14ac:dyDescent="0.2">
      <c r="C58" s="1" t="str">
        <f t="shared" si="25"/>
        <v>CV</v>
      </c>
      <c r="D58" s="1" t="str">
        <f t="shared" si="26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visual_style21</v>
      </c>
      <c r="AG58">
        <f t="shared" si="24"/>
        <v>21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</row>
    <row r="59" spans="1:46" ht="14.25" customHeight="1" x14ac:dyDescent="0.2">
      <c r="C59" s="1" t="str">
        <f t="shared" si="25"/>
        <v>CV</v>
      </c>
      <c r="D59" s="1" t="str">
        <f t="shared" si="26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visual_style21</v>
      </c>
      <c r="AG59">
        <f t="shared" si="24"/>
        <v>21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</row>
    <row r="60" spans="1:46" ht="14.25" customHeight="1" x14ac:dyDescent="0.2">
      <c r="C60" s="1" t="str">
        <f t="shared" si="25"/>
        <v>CV</v>
      </c>
      <c r="D60" s="1" t="str">
        <f t="shared" si="26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visual_style21</v>
      </c>
      <c r="AG60">
        <f t="shared" si="24"/>
        <v>21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</row>
    <row r="61" spans="1:46" ht="14.25" customHeight="1" x14ac:dyDescent="0.2">
      <c r="B61" s="2" t="s">
        <v>123</v>
      </c>
      <c r="C61" s="1" t="str">
        <f t="shared" si="25"/>
        <v>CV</v>
      </c>
      <c r="D61" s="1" t="str">
        <f t="shared" si="26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visual_style21</v>
      </c>
      <c r="AG61">
        <f t="shared" si="24"/>
        <v>21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</row>
    <row r="62" spans="1:46" ht="14.25" customHeight="1" x14ac:dyDescent="0.2">
      <c r="C62" s="1" t="str">
        <f t="shared" si="25"/>
        <v>CV</v>
      </c>
      <c r="D62" s="1" t="str">
        <f t="shared" si="26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visual_style21</v>
      </c>
      <c r="AG62">
        <f t="shared" si="24"/>
        <v>21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</row>
    <row r="63" spans="1:46" s="8" customFormat="1" ht="21.75" customHeight="1" x14ac:dyDescent="0.2">
      <c r="A63" s="5"/>
      <c r="B63" s="5"/>
      <c r="C63" s="1" t="str">
        <f t="shared" ref="C63:C89" si="53">IF(ISBLANK(A63),C62,A63)</f>
        <v>CV</v>
      </c>
      <c r="D63" s="1" t="str">
        <f t="shared" ref="D63:D89" si="54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5">IF(ISBLANK(O63),"",", '"&amp;O63&amp;"'")</f>
        <v/>
      </c>
      <c r="AC63" t="str">
        <f t="shared" ref="AC63:AC109" si="56">IF(ISBLANK(P63),"",", '"&amp;P63&amp;"'")</f>
        <v/>
      </c>
      <c r="AD63" t="str">
        <f t="shared" ref="AD63:AD109" si="57">AA63&amp;AB63&amp;AC63&amp;"]"</f>
        <v>['O']</v>
      </c>
      <c r="AE63" t="str">
        <f t="shared" ref="AE63:AE109" si="58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visual_style21</v>
      </c>
      <c r="AG63">
        <f t="shared" ref="AG63:AG109" si="59">IF(ISBLANK(U62),AG62,AG62+1)</f>
        <v>21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</row>
    <row r="64" spans="1:46" ht="21.75" customHeight="1" x14ac:dyDescent="0.2">
      <c r="C64" s="1" t="str">
        <f t="shared" si="53"/>
        <v>CV</v>
      </c>
      <c r="D64" s="1" t="str">
        <f t="shared" si="54"/>
        <v>FrequencyDomain</v>
      </c>
      <c r="I64" s="3"/>
      <c r="J64" s="10"/>
      <c r="K64" s="10"/>
      <c r="L64" s="10"/>
      <c r="M64" s="10"/>
      <c r="N64" s="4"/>
      <c r="V64" s="9" t="str">
        <f t="shared" ref="V64:V109" si="60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1">"["&amp;IF(ISBLANK(N64),"", "'"&amp;N64&amp;"'")</f>
        <v>[</v>
      </c>
      <c r="AB64" t="str">
        <f t="shared" si="55"/>
        <v/>
      </c>
      <c r="AC64" t="str">
        <f t="shared" si="56"/>
        <v/>
      </c>
      <c r="AD64" t="str">
        <f t="shared" si="57"/>
        <v>[]</v>
      </c>
      <c r="AE64" t="str">
        <f t="shared" si="58"/>
        <v/>
      </c>
      <c r="AF64" t="str">
        <f t="shared" si="13"/>
        <v>visual_style21</v>
      </c>
      <c r="AG64">
        <f t="shared" si="59"/>
        <v>21</v>
      </c>
      <c r="AH64" t="str">
        <f t="shared" ref="AH64:AH109" si="62">IF(ISBLANK(E64),"","&lt;&gt;%  ===== "&amp;E64&amp;" ===========&lt;&gt;"&amp;AE64&amp;").&lt;&gt;inputs("&amp;E64&amp;", "&amp;Z64&amp;").&lt;&gt;outputs("&amp;E64&amp;", "&amp;AD64&amp;").")</f>
        <v/>
      </c>
    </row>
    <row r="65" spans="3:34" ht="21.75" customHeight="1" x14ac:dyDescent="0.2">
      <c r="C65" s="1" t="str">
        <f t="shared" si="53"/>
        <v>CV</v>
      </c>
      <c r="D65" s="1" t="str">
        <f t="shared" si="54"/>
        <v>FrequencyDomain</v>
      </c>
      <c r="I65" s="3"/>
      <c r="J65" s="10"/>
      <c r="K65" s="10"/>
      <c r="L65" s="10"/>
      <c r="M65" s="10"/>
      <c r="N65" s="4"/>
      <c r="V65" s="9" t="str">
        <f t="shared" si="60"/>
        <v>[</v>
      </c>
      <c r="Z65" t="str">
        <f t="shared" si="7"/>
        <v>[]</v>
      </c>
      <c r="AA65" s="8" t="str">
        <f t="shared" si="61"/>
        <v>[</v>
      </c>
      <c r="AB65" t="str">
        <f t="shared" si="55"/>
        <v/>
      </c>
      <c r="AC65" t="str">
        <f t="shared" si="56"/>
        <v/>
      </c>
      <c r="AD65" t="str">
        <f t="shared" si="57"/>
        <v>[]</v>
      </c>
      <c r="AE65" t="str">
        <f t="shared" si="58"/>
        <v/>
      </c>
      <c r="AF65" t="str">
        <f t="shared" si="13"/>
        <v>visual_style21</v>
      </c>
      <c r="AG65">
        <f t="shared" si="59"/>
        <v>21</v>
      </c>
      <c r="AH65" t="str">
        <f t="shared" si="62"/>
        <v/>
      </c>
    </row>
    <row r="66" spans="3:34" ht="21.75" customHeight="1" x14ac:dyDescent="0.2">
      <c r="C66" s="1" t="str">
        <f t="shared" si="53"/>
        <v>CV</v>
      </c>
      <c r="D66" s="1" t="str">
        <f t="shared" si="54"/>
        <v>FrequencyDomain</v>
      </c>
      <c r="I66" s="3"/>
      <c r="J66" s="10"/>
      <c r="K66" s="10"/>
      <c r="L66" s="10"/>
      <c r="M66" s="10"/>
      <c r="N66" s="4"/>
      <c r="V66" s="9" t="str">
        <f t="shared" si="60"/>
        <v>[</v>
      </c>
      <c r="Z66" t="str">
        <f t="shared" si="7"/>
        <v>[]</v>
      </c>
      <c r="AA66" s="8" t="str">
        <f t="shared" si="61"/>
        <v>[</v>
      </c>
      <c r="AB66" t="str">
        <f t="shared" si="55"/>
        <v/>
      </c>
      <c r="AC66" t="str">
        <f t="shared" si="56"/>
        <v/>
      </c>
      <c r="AD66" t="str">
        <f t="shared" si="57"/>
        <v>[]</v>
      </c>
      <c r="AE66" t="str">
        <f t="shared" si="58"/>
        <v/>
      </c>
      <c r="AF66" t="str">
        <f t="shared" si="13"/>
        <v>visual_style21</v>
      </c>
      <c r="AG66">
        <f t="shared" si="59"/>
        <v>21</v>
      </c>
      <c r="AH66" t="str">
        <f t="shared" si="62"/>
        <v/>
      </c>
    </row>
    <row r="67" spans="3:34" ht="21.75" customHeight="1" x14ac:dyDescent="0.2">
      <c r="C67" s="1" t="str">
        <f t="shared" si="53"/>
        <v>CV</v>
      </c>
      <c r="D67" s="1" t="str">
        <f t="shared" si="54"/>
        <v>FrequencyDomain</v>
      </c>
      <c r="I67" s="3"/>
      <c r="J67" s="10"/>
      <c r="K67" s="10"/>
      <c r="L67" s="10"/>
      <c r="M67" s="10"/>
      <c r="N67" s="4"/>
      <c r="V67" s="9" t="str">
        <f t="shared" si="60"/>
        <v>[</v>
      </c>
      <c r="Z67" t="str">
        <f t="shared" si="7"/>
        <v>[]</v>
      </c>
      <c r="AA67" s="8" t="str">
        <f t="shared" si="61"/>
        <v>[</v>
      </c>
      <c r="AB67" t="str">
        <f t="shared" si="55"/>
        <v/>
      </c>
      <c r="AC67" t="str">
        <f t="shared" si="56"/>
        <v/>
      </c>
      <c r="AD67" t="str">
        <f t="shared" si="57"/>
        <v>[]</v>
      </c>
      <c r="AE67" t="str">
        <f t="shared" si="58"/>
        <v/>
      </c>
      <c r="AF67" t="str">
        <f t="shared" si="13"/>
        <v>visual_style21</v>
      </c>
      <c r="AG67">
        <f t="shared" si="59"/>
        <v>21</v>
      </c>
      <c r="AH67" t="str">
        <f t="shared" si="62"/>
        <v/>
      </c>
    </row>
    <row r="68" spans="3:34" ht="21.75" customHeight="1" x14ac:dyDescent="0.2">
      <c r="C68" s="1" t="str">
        <f t="shared" si="53"/>
        <v>CV</v>
      </c>
      <c r="D68" s="1" t="str">
        <f t="shared" si="54"/>
        <v>FrequencyDomain</v>
      </c>
      <c r="I68" s="3"/>
      <c r="J68" s="10"/>
      <c r="K68" s="10"/>
      <c r="L68" s="10"/>
      <c r="M68" s="10"/>
      <c r="N68" s="4"/>
      <c r="V68" s="9" t="str">
        <f t="shared" si="60"/>
        <v>[</v>
      </c>
      <c r="Z68" t="str">
        <f t="shared" si="7"/>
        <v>[]</v>
      </c>
      <c r="AA68" s="8" t="str">
        <f t="shared" si="61"/>
        <v>[</v>
      </c>
      <c r="AB68" t="str">
        <f t="shared" si="55"/>
        <v/>
      </c>
      <c r="AC68" t="str">
        <f t="shared" si="56"/>
        <v/>
      </c>
      <c r="AD68" t="str">
        <f t="shared" si="57"/>
        <v>[]</v>
      </c>
      <c r="AE68" t="str">
        <f t="shared" si="58"/>
        <v/>
      </c>
      <c r="AF68" t="str">
        <f t="shared" si="13"/>
        <v>visual_style21</v>
      </c>
      <c r="AG68">
        <f t="shared" si="59"/>
        <v>21</v>
      </c>
      <c r="AH68" t="str">
        <f t="shared" si="62"/>
        <v/>
      </c>
    </row>
    <row r="69" spans="3:34" ht="21.75" customHeight="1" x14ac:dyDescent="0.2">
      <c r="C69" s="1" t="str">
        <f t="shared" si="53"/>
        <v>CV</v>
      </c>
      <c r="D69" s="1" t="str">
        <f t="shared" si="54"/>
        <v>FrequencyDomain</v>
      </c>
      <c r="I69" s="3"/>
      <c r="J69" s="10"/>
      <c r="K69" s="10"/>
      <c r="L69" s="10"/>
      <c r="M69" s="10"/>
      <c r="N69" s="4"/>
      <c r="V69" s="9" t="str">
        <f t="shared" si="60"/>
        <v>[</v>
      </c>
      <c r="Z69" t="str">
        <f t="shared" si="7"/>
        <v>[]</v>
      </c>
      <c r="AA69" s="8" t="str">
        <f t="shared" si="61"/>
        <v>[</v>
      </c>
      <c r="AB69" t="str">
        <f t="shared" si="55"/>
        <v/>
      </c>
      <c r="AC69" t="str">
        <f t="shared" si="56"/>
        <v/>
      </c>
      <c r="AD69" t="str">
        <f t="shared" si="57"/>
        <v>[]</v>
      </c>
      <c r="AE69" t="str">
        <f t="shared" si="58"/>
        <v/>
      </c>
      <c r="AF69" t="str">
        <f t="shared" si="13"/>
        <v>visual_style21</v>
      </c>
      <c r="AG69">
        <f t="shared" si="59"/>
        <v>21</v>
      </c>
      <c r="AH69" t="str">
        <f t="shared" si="62"/>
        <v/>
      </c>
    </row>
    <row r="70" spans="3:34" ht="21.75" customHeight="1" x14ac:dyDescent="0.2">
      <c r="C70" s="1" t="str">
        <f t="shared" si="53"/>
        <v>CV</v>
      </c>
      <c r="D70" s="1" t="str">
        <f t="shared" si="54"/>
        <v>FrequencyDomain</v>
      </c>
      <c r="I70" s="3"/>
      <c r="J70" s="10"/>
      <c r="K70" s="10"/>
      <c r="L70" s="10"/>
      <c r="M70" s="10"/>
      <c r="N70" s="4"/>
      <c r="V70" s="9" t="str">
        <f t="shared" si="60"/>
        <v>[</v>
      </c>
      <c r="Z70" t="str">
        <f t="shared" si="7"/>
        <v>[]</v>
      </c>
      <c r="AA70" s="8" t="str">
        <f t="shared" si="61"/>
        <v>[</v>
      </c>
      <c r="AB70" t="str">
        <f t="shared" si="55"/>
        <v/>
      </c>
      <c r="AC70" t="str">
        <f t="shared" si="56"/>
        <v/>
      </c>
      <c r="AD70" t="str">
        <f t="shared" si="57"/>
        <v>[]</v>
      </c>
      <c r="AE70" t="str">
        <f t="shared" si="58"/>
        <v/>
      </c>
      <c r="AF70" t="str">
        <f t="shared" si="13"/>
        <v>visual_style21</v>
      </c>
      <c r="AG70">
        <f t="shared" si="59"/>
        <v>21</v>
      </c>
      <c r="AH70" t="str">
        <f t="shared" si="62"/>
        <v/>
      </c>
    </row>
    <row r="71" spans="3:34" ht="21.75" customHeight="1" x14ac:dyDescent="0.2">
      <c r="C71" s="1" t="str">
        <f t="shared" si="53"/>
        <v>CV</v>
      </c>
      <c r="D71" s="1" t="str">
        <f t="shared" si="54"/>
        <v>FrequencyDomain</v>
      </c>
      <c r="I71" s="3"/>
      <c r="J71" s="10"/>
      <c r="K71" s="10"/>
      <c r="L71" s="10"/>
      <c r="M71" s="10"/>
      <c r="N71" s="4"/>
      <c r="V71" s="9" t="str">
        <f t="shared" si="60"/>
        <v>[</v>
      </c>
      <c r="Z71" t="str">
        <f t="shared" si="7"/>
        <v>[]</v>
      </c>
      <c r="AA71" s="8" t="str">
        <f t="shared" si="61"/>
        <v>[</v>
      </c>
      <c r="AB71" t="str">
        <f t="shared" si="55"/>
        <v/>
      </c>
      <c r="AC71" t="str">
        <f t="shared" si="56"/>
        <v/>
      </c>
      <c r="AD71" t="str">
        <f t="shared" si="57"/>
        <v>[]</v>
      </c>
      <c r="AE71" t="str">
        <f t="shared" si="58"/>
        <v/>
      </c>
      <c r="AF71" t="str">
        <f t="shared" si="13"/>
        <v>visual_style21</v>
      </c>
      <c r="AG71">
        <f t="shared" si="59"/>
        <v>21</v>
      </c>
      <c r="AH71" t="str">
        <f t="shared" si="62"/>
        <v/>
      </c>
    </row>
    <row r="72" spans="3:34" ht="21.75" customHeight="1" x14ac:dyDescent="0.2">
      <c r="C72" s="1" t="str">
        <f t="shared" si="53"/>
        <v>CV</v>
      </c>
      <c r="D72" s="1" t="str">
        <f t="shared" si="54"/>
        <v>FrequencyDomain</v>
      </c>
      <c r="I72" s="3"/>
      <c r="J72" s="10"/>
      <c r="K72" s="10"/>
      <c r="L72" s="10"/>
      <c r="M72" s="10"/>
      <c r="N72" s="4"/>
      <c r="V72" s="9" t="str">
        <f t="shared" si="60"/>
        <v>[</v>
      </c>
      <c r="Z72" t="str">
        <f t="shared" si="7"/>
        <v>[]</v>
      </c>
      <c r="AA72" s="8" t="str">
        <f t="shared" si="61"/>
        <v>[</v>
      </c>
      <c r="AB72" t="str">
        <f t="shared" si="55"/>
        <v/>
      </c>
      <c r="AC72" t="str">
        <f t="shared" si="56"/>
        <v/>
      </c>
      <c r="AD72" t="str">
        <f t="shared" si="57"/>
        <v>[]</v>
      </c>
      <c r="AE72" t="str">
        <f t="shared" si="58"/>
        <v/>
      </c>
      <c r="AF72" t="str">
        <f t="shared" si="13"/>
        <v>visual_style21</v>
      </c>
      <c r="AG72">
        <f t="shared" si="59"/>
        <v>21</v>
      </c>
      <c r="AH72" t="str">
        <f t="shared" si="62"/>
        <v/>
      </c>
    </row>
    <row r="73" spans="3:34" ht="21.75" customHeight="1" x14ac:dyDescent="0.2">
      <c r="C73" s="1" t="str">
        <f t="shared" si="53"/>
        <v>CV</v>
      </c>
      <c r="D73" s="1" t="str">
        <f t="shared" si="54"/>
        <v>FrequencyDomain</v>
      </c>
      <c r="I73" s="3"/>
      <c r="J73" s="10"/>
      <c r="K73" s="10"/>
      <c r="L73" s="10"/>
      <c r="M73" s="10"/>
      <c r="N73" s="4"/>
      <c r="V73" s="9" t="str">
        <f t="shared" si="60"/>
        <v>[</v>
      </c>
      <c r="Z73" t="str">
        <f t="shared" si="7"/>
        <v>[]</v>
      </c>
      <c r="AA73" s="8" t="str">
        <f t="shared" si="61"/>
        <v>[</v>
      </c>
      <c r="AB73" t="str">
        <f t="shared" si="55"/>
        <v/>
      </c>
      <c r="AC73" t="str">
        <f t="shared" si="56"/>
        <v/>
      </c>
      <c r="AD73" t="str">
        <f t="shared" si="57"/>
        <v>[]</v>
      </c>
      <c r="AE73" t="str">
        <f t="shared" si="58"/>
        <v/>
      </c>
      <c r="AF73" t="str">
        <f t="shared" si="13"/>
        <v>visual_style21</v>
      </c>
      <c r="AG73">
        <f t="shared" si="59"/>
        <v>21</v>
      </c>
      <c r="AH73" t="str">
        <f t="shared" si="62"/>
        <v/>
      </c>
    </row>
    <row r="74" spans="3:34" ht="21.75" customHeight="1" x14ac:dyDescent="0.2">
      <c r="C74" s="1" t="str">
        <f t="shared" si="53"/>
        <v>CV</v>
      </c>
      <c r="D74" s="1" t="str">
        <f t="shared" si="54"/>
        <v>FrequencyDomain</v>
      </c>
      <c r="I74" s="3"/>
      <c r="J74" s="10"/>
      <c r="K74" s="10"/>
      <c r="L74" s="10"/>
      <c r="M74" s="10"/>
      <c r="N74" s="4"/>
      <c r="V74" s="9" t="str">
        <f t="shared" si="60"/>
        <v>[</v>
      </c>
      <c r="Z74" t="str">
        <f t="shared" si="7"/>
        <v>[]</v>
      </c>
      <c r="AA74" s="8" t="str">
        <f t="shared" si="61"/>
        <v>[</v>
      </c>
      <c r="AB74" t="str">
        <f t="shared" si="55"/>
        <v/>
      </c>
      <c r="AC74" t="str">
        <f t="shared" si="56"/>
        <v/>
      </c>
      <c r="AD74" t="str">
        <f t="shared" si="57"/>
        <v>[]</v>
      </c>
      <c r="AE74" t="str">
        <f t="shared" si="58"/>
        <v/>
      </c>
      <c r="AF74" t="str">
        <f t="shared" si="13"/>
        <v>visual_style21</v>
      </c>
      <c r="AG74">
        <f t="shared" si="59"/>
        <v>21</v>
      </c>
      <c r="AH74" t="str">
        <f t="shared" si="62"/>
        <v/>
      </c>
    </row>
    <row r="75" spans="3:34" ht="21.75" customHeight="1" x14ac:dyDescent="0.2">
      <c r="C75" s="1" t="str">
        <f t="shared" si="53"/>
        <v>CV</v>
      </c>
      <c r="D75" s="1" t="str">
        <f t="shared" si="54"/>
        <v>FrequencyDomain</v>
      </c>
      <c r="I75" s="3"/>
      <c r="J75" s="10"/>
      <c r="K75" s="10"/>
      <c r="L75" s="10"/>
      <c r="M75" s="10"/>
      <c r="N75" s="4"/>
      <c r="V75" s="9" t="str">
        <f t="shared" si="60"/>
        <v>[</v>
      </c>
      <c r="Z75" t="str">
        <f t="shared" si="7"/>
        <v>[]</v>
      </c>
      <c r="AA75" s="8" t="str">
        <f t="shared" si="61"/>
        <v>[</v>
      </c>
      <c r="AB75" t="str">
        <f t="shared" si="55"/>
        <v/>
      </c>
      <c r="AC75" t="str">
        <f t="shared" si="56"/>
        <v/>
      </c>
      <c r="AD75" t="str">
        <f t="shared" si="57"/>
        <v>[]</v>
      </c>
      <c r="AE75" t="str">
        <f t="shared" si="58"/>
        <v/>
      </c>
      <c r="AF75" t="str">
        <f t="shared" si="13"/>
        <v>visual_style21</v>
      </c>
      <c r="AG75">
        <f t="shared" si="59"/>
        <v>21</v>
      </c>
      <c r="AH75" t="str">
        <f t="shared" si="62"/>
        <v/>
      </c>
    </row>
    <row r="76" spans="3:34" ht="21.75" customHeight="1" x14ac:dyDescent="0.2">
      <c r="C76" s="1" t="str">
        <f t="shared" si="53"/>
        <v>CV</v>
      </c>
      <c r="D76" s="1" t="str">
        <f t="shared" si="54"/>
        <v>FrequencyDomain</v>
      </c>
      <c r="I76" s="3"/>
      <c r="J76" s="10"/>
      <c r="K76" s="10"/>
      <c r="L76" s="10"/>
      <c r="M76" s="10"/>
      <c r="N76" s="4"/>
      <c r="V76" s="9" t="str">
        <f t="shared" si="60"/>
        <v>[</v>
      </c>
      <c r="Z76" t="str">
        <f t="shared" si="7"/>
        <v>[]</v>
      </c>
      <c r="AA76" s="8" t="str">
        <f t="shared" si="61"/>
        <v>[</v>
      </c>
      <c r="AB76" t="str">
        <f t="shared" si="55"/>
        <v/>
      </c>
      <c r="AC76" t="str">
        <f t="shared" si="56"/>
        <v/>
      </c>
      <c r="AD76" t="str">
        <f t="shared" si="57"/>
        <v>[]</v>
      </c>
      <c r="AE76" t="str">
        <f t="shared" si="58"/>
        <v/>
      </c>
      <c r="AF76" t="str">
        <f t="shared" si="13"/>
        <v>visual_style21</v>
      </c>
      <c r="AG76">
        <f t="shared" si="59"/>
        <v>21</v>
      </c>
      <c r="AH76" t="str">
        <f t="shared" si="62"/>
        <v/>
      </c>
    </row>
    <row r="77" spans="3:34" ht="21.75" customHeight="1" x14ac:dyDescent="0.2">
      <c r="C77" s="1" t="str">
        <f t="shared" si="53"/>
        <v>CV</v>
      </c>
      <c r="D77" s="1" t="str">
        <f t="shared" si="54"/>
        <v>FrequencyDomain</v>
      </c>
      <c r="I77" s="3"/>
      <c r="J77" s="10"/>
      <c r="K77" s="10"/>
      <c r="L77" s="10"/>
      <c r="M77" s="10"/>
      <c r="N77" s="4"/>
      <c r="V77" s="9" t="str">
        <f t="shared" si="60"/>
        <v>[</v>
      </c>
      <c r="Z77" t="str">
        <f t="shared" ref="Z77:Z109" si="63">V77&amp;W77&amp;X77&amp;"]"</f>
        <v>[]</v>
      </c>
      <c r="AA77" s="8" t="str">
        <f t="shared" si="61"/>
        <v>[</v>
      </c>
      <c r="AB77" t="str">
        <f t="shared" si="55"/>
        <v/>
      </c>
      <c r="AC77" t="str">
        <f t="shared" si="56"/>
        <v/>
      </c>
      <c r="AD77" t="str">
        <f t="shared" si="57"/>
        <v>[]</v>
      </c>
      <c r="AE77" t="str">
        <f t="shared" si="58"/>
        <v/>
      </c>
      <c r="AF77" t="str">
        <f t="shared" ref="AF77:AF109" si="64">"visual_style"&amp;AG77</f>
        <v>visual_style21</v>
      </c>
      <c r="AG77">
        <f t="shared" si="59"/>
        <v>21</v>
      </c>
      <c r="AH77" t="str">
        <f t="shared" si="62"/>
        <v/>
      </c>
    </row>
    <row r="78" spans="3:34" ht="21.75" customHeight="1" x14ac:dyDescent="0.2">
      <c r="C78" s="1" t="str">
        <f t="shared" si="53"/>
        <v>CV</v>
      </c>
      <c r="D78" s="1" t="str">
        <f t="shared" si="54"/>
        <v>FrequencyDomain</v>
      </c>
      <c r="I78" s="3"/>
      <c r="J78" s="10"/>
      <c r="K78" s="10"/>
      <c r="L78" s="10"/>
      <c r="M78" s="10"/>
      <c r="N78" s="4"/>
      <c r="V78" s="9" t="str">
        <f t="shared" si="60"/>
        <v>[</v>
      </c>
      <c r="Z78" t="str">
        <f t="shared" si="63"/>
        <v>[]</v>
      </c>
      <c r="AA78" s="8" t="str">
        <f t="shared" si="61"/>
        <v>[</v>
      </c>
      <c r="AB78" t="str">
        <f t="shared" si="55"/>
        <v/>
      </c>
      <c r="AC78" t="str">
        <f t="shared" si="56"/>
        <v/>
      </c>
      <c r="AD78" t="str">
        <f t="shared" si="57"/>
        <v>[]</v>
      </c>
      <c r="AE78" t="str">
        <f t="shared" si="58"/>
        <v/>
      </c>
      <c r="AF78" t="str">
        <f t="shared" si="64"/>
        <v>visual_style21</v>
      </c>
      <c r="AG78">
        <f t="shared" si="59"/>
        <v>21</v>
      </c>
      <c r="AH78" t="str">
        <f t="shared" si="62"/>
        <v/>
      </c>
    </row>
    <row r="79" spans="3:34" ht="21.75" customHeight="1" x14ac:dyDescent="0.2">
      <c r="C79" s="1" t="str">
        <f t="shared" si="53"/>
        <v>CV</v>
      </c>
      <c r="D79" s="1" t="str">
        <f t="shared" si="54"/>
        <v>FrequencyDomain</v>
      </c>
      <c r="I79" s="3"/>
      <c r="J79" s="10"/>
      <c r="K79" s="10"/>
      <c r="L79" s="10"/>
      <c r="M79" s="10"/>
      <c r="N79" s="4"/>
      <c r="V79" s="9" t="str">
        <f t="shared" si="60"/>
        <v>[</v>
      </c>
      <c r="Z79" t="str">
        <f t="shared" si="63"/>
        <v>[]</v>
      </c>
      <c r="AA79" s="8" t="str">
        <f t="shared" si="61"/>
        <v>[</v>
      </c>
      <c r="AB79" t="str">
        <f t="shared" si="55"/>
        <v/>
      </c>
      <c r="AC79" t="str">
        <f t="shared" si="56"/>
        <v/>
      </c>
      <c r="AD79" t="str">
        <f t="shared" si="57"/>
        <v>[]</v>
      </c>
      <c r="AE79" t="str">
        <f t="shared" si="58"/>
        <v/>
      </c>
      <c r="AF79" t="str">
        <f t="shared" si="64"/>
        <v>visual_style21</v>
      </c>
      <c r="AG79">
        <f t="shared" si="59"/>
        <v>21</v>
      </c>
      <c r="AH79" t="str">
        <f t="shared" si="62"/>
        <v/>
      </c>
    </row>
    <row r="80" spans="3:34" ht="21.75" customHeight="1" x14ac:dyDescent="0.2">
      <c r="C80" s="1" t="str">
        <f t="shared" si="53"/>
        <v>CV</v>
      </c>
      <c r="D80" s="1" t="str">
        <f t="shared" si="54"/>
        <v>FrequencyDomain</v>
      </c>
      <c r="I80" s="3"/>
      <c r="J80" s="10"/>
      <c r="K80" s="10"/>
      <c r="L80" s="10"/>
      <c r="M80" s="10"/>
      <c r="N80" s="4"/>
      <c r="V80" s="9" t="str">
        <f t="shared" si="60"/>
        <v>[</v>
      </c>
      <c r="Z80" t="str">
        <f t="shared" si="63"/>
        <v>[]</v>
      </c>
      <c r="AA80" s="8" t="str">
        <f t="shared" si="61"/>
        <v>[</v>
      </c>
      <c r="AB80" t="str">
        <f t="shared" si="55"/>
        <v/>
      </c>
      <c r="AC80" t="str">
        <f t="shared" si="56"/>
        <v/>
      </c>
      <c r="AD80" t="str">
        <f t="shared" si="57"/>
        <v>[]</v>
      </c>
      <c r="AE80" t="str">
        <f t="shared" si="58"/>
        <v/>
      </c>
      <c r="AF80" t="str">
        <f t="shared" si="64"/>
        <v>visual_style21</v>
      </c>
      <c r="AG80">
        <f t="shared" si="59"/>
        <v>21</v>
      </c>
      <c r="AH80" t="str">
        <f t="shared" si="62"/>
        <v/>
      </c>
    </row>
    <row r="81" spans="3:34" ht="21.75" customHeight="1" x14ac:dyDescent="0.2">
      <c r="C81" s="1" t="str">
        <f t="shared" si="53"/>
        <v>CV</v>
      </c>
      <c r="D81" s="1" t="str">
        <f t="shared" si="54"/>
        <v>FrequencyDomain</v>
      </c>
      <c r="I81" s="3"/>
      <c r="J81" s="10"/>
      <c r="K81" s="10"/>
      <c r="L81" s="10"/>
      <c r="M81" s="10"/>
      <c r="N81" s="4"/>
      <c r="V81" s="9" t="str">
        <f t="shared" si="60"/>
        <v>[</v>
      </c>
      <c r="Z81" t="str">
        <f t="shared" si="63"/>
        <v>[]</v>
      </c>
      <c r="AA81" s="8" t="str">
        <f t="shared" si="61"/>
        <v>[</v>
      </c>
      <c r="AB81" t="str">
        <f t="shared" si="55"/>
        <v/>
      </c>
      <c r="AC81" t="str">
        <f t="shared" si="56"/>
        <v/>
      </c>
      <c r="AD81" t="str">
        <f t="shared" si="57"/>
        <v>[]</v>
      </c>
      <c r="AE81" t="str">
        <f t="shared" si="58"/>
        <v/>
      </c>
      <c r="AF81" t="str">
        <f t="shared" si="64"/>
        <v>visual_style21</v>
      </c>
      <c r="AG81">
        <f t="shared" si="59"/>
        <v>21</v>
      </c>
      <c r="AH81" t="str">
        <f t="shared" si="62"/>
        <v/>
      </c>
    </row>
    <row r="82" spans="3:34" ht="21.75" customHeight="1" x14ac:dyDescent="0.2">
      <c r="C82" s="1" t="str">
        <f t="shared" si="53"/>
        <v>CV</v>
      </c>
      <c r="D82" s="1" t="str">
        <f t="shared" si="54"/>
        <v>FrequencyDomain</v>
      </c>
      <c r="I82" s="3"/>
      <c r="J82" s="10"/>
      <c r="K82" s="10"/>
      <c r="L82" s="10"/>
      <c r="M82" s="10"/>
      <c r="N82" s="4"/>
      <c r="V82" s="9" t="str">
        <f t="shared" si="60"/>
        <v>[</v>
      </c>
      <c r="Z82" t="str">
        <f t="shared" si="63"/>
        <v>[]</v>
      </c>
      <c r="AA82" s="8" t="str">
        <f t="shared" si="61"/>
        <v>[</v>
      </c>
      <c r="AB82" t="str">
        <f t="shared" si="55"/>
        <v/>
      </c>
      <c r="AC82" t="str">
        <f t="shared" si="56"/>
        <v/>
      </c>
      <c r="AD82" t="str">
        <f t="shared" si="57"/>
        <v>[]</v>
      </c>
      <c r="AE82" t="str">
        <f t="shared" si="58"/>
        <v/>
      </c>
      <c r="AF82" t="str">
        <f t="shared" si="64"/>
        <v>visual_style21</v>
      </c>
      <c r="AG82">
        <f t="shared" si="59"/>
        <v>21</v>
      </c>
      <c r="AH82" t="str">
        <f t="shared" si="62"/>
        <v/>
      </c>
    </row>
    <row r="83" spans="3:34" ht="21.75" customHeight="1" x14ac:dyDescent="0.2">
      <c r="C83" s="1" t="str">
        <f t="shared" si="53"/>
        <v>CV</v>
      </c>
      <c r="D83" s="1" t="str">
        <f t="shared" si="54"/>
        <v>FrequencyDomain</v>
      </c>
      <c r="I83" s="3"/>
      <c r="J83" s="10"/>
      <c r="K83" s="10"/>
      <c r="L83" s="10"/>
      <c r="M83" s="10"/>
      <c r="N83" s="4"/>
      <c r="V83" s="9" t="str">
        <f t="shared" si="60"/>
        <v>[</v>
      </c>
      <c r="Z83" t="str">
        <f t="shared" si="63"/>
        <v>[]</v>
      </c>
      <c r="AA83" s="8" t="str">
        <f t="shared" si="61"/>
        <v>[</v>
      </c>
      <c r="AB83" t="str">
        <f t="shared" si="55"/>
        <v/>
      </c>
      <c r="AC83" t="str">
        <f t="shared" si="56"/>
        <v/>
      </c>
      <c r="AD83" t="str">
        <f t="shared" si="57"/>
        <v>[]</v>
      </c>
      <c r="AE83" t="str">
        <f t="shared" si="58"/>
        <v/>
      </c>
      <c r="AF83" t="str">
        <f t="shared" si="64"/>
        <v>visual_style21</v>
      </c>
      <c r="AG83">
        <f t="shared" si="59"/>
        <v>21</v>
      </c>
      <c r="AH83" t="str">
        <f t="shared" si="62"/>
        <v/>
      </c>
    </row>
    <row r="84" spans="3:34" ht="21.75" customHeight="1" x14ac:dyDescent="0.2">
      <c r="C84" s="1" t="str">
        <f t="shared" si="53"/>
        <v>CV</v>
      </c>
      <c r="D84" s="1" t="str">
        <f t="shared" si="54"/>
        <v>FrequencyDomain</v>
      </c>
      <c r="I84" s="3"/>
      <c r="J84" s="10"/>
      <c r="K84" s="10"/>
      <c r="L84" s="10"/>
      <c r="M84" s="10"/>
      <c r="N84" s="4"/>
      <c r="V84" s="9" t="str">
        <f t="shared" si="60"/>
        <v>[</v>
      </c>
      <c r="Z84" t="str">
        <f t="shared" si="63"/>
        <v>[]</v>
      </c>
      <c r="AA84" s="8" t="str">
        <f t="shared" si="61"/>
        <v>[</v>
      </c>
      <c r="AB84" t="str">
        <f t="shared" si="55"/>
        <v/>
      </c>
      <c r="AC84" t="str">
        <f t="shared" si="56"/>
        <v/>
      </c>
      <c r="AD84" t="str">
        <f t="shared" si="57"/>
        <v>[]</v>
      </c>
      <c r="AE84" t="str">
        <f t="shared" si="58"/>
        <v/>
      </c>
      <c r="AF84" t="str">
        <f t="shared" si="64"/>
        <v>visual_style21</v>
      </c>
      <c r="AG84">
        <f t="shared" si="59"/>
        <v>21</v>
      </c>
      <c r="AH84" t="str">
        <f t="shared" si="62"/>
        <v/>
      </c>
    </row>
    <row r="85" spans="3:34" ht="21.75" customHeight="1" x14ac:dyDescent="0.2">
      <c r="C85" s="1" t="str">
        <f t="shared" si="53"/>
        <v>CV</v>
      </c>
      <c r="D85" s="1" t="str">
        <f t="shared" si="54"/>
        <v>FrequencyDomain</v>
      </c>
      <c r="I85" s="3"/>
      <c r="J85" s="10"/>
      <c r="K85" s="10"/>
      <c r="L85" s="10"/>
      <c r="M85" s="10"/>
      <c r="N85" s="4"/>
      <c r="V85" s="9" t="str">
        <f t="shared" si="60"/>
        <v>[</v>
      </c>
      <c r="Z85" t="str">
        <f t="shared" si="63"/>
        <v>[]</v>
      </c>
      <c r="AA85" s="8" t="str">
        <f t="shared" si="61"/>
        <v>[</v>
      </c>
      <c r="AB85" t="str">
        <f t="shared" si="55"/>
        <v/>
      </c>
      <c r="AC85" t="str">
        <f t="shared" si="56"/>
        <v/>
      </c>
      <c r="AD85" t="str">
        <f t="shared" si="57"/>
        <v>[]</v>
      </c>
      <c r="AE85" t="str">
        <f t="shared" si="58"/>
        <v/>
      </c>
      <c r="AF85" t="str">
        <f t="shared" si="64"/>
        <v>visual_style21</v>
      </c>
      <c r="AG85">
        <f t="shared" si="59"/>
        <v>21</v>
      </c>
      <c r="AH85" t="str">
        <f t="shared" si="62"/>
        <v/>
      </c>
    </row>
    <row r="86" spans="3:34" ht="21.75" customHeight="1" x14ac:dyDescent="0.2">
      <c r="C86" s="1" t="str">
        <f t="shared" si="53"/>
        <v>CV</v>
      </c>
      <c r="D86" s="1" t="str">
        <f t="shared" si="54"/>
        <v>FrequencyDomain</v>
      </c>
      <c r="I86" s="3"/>
      <c r="J86" s="10"/>
      <c r="K86" s="10"/>
      <c r="L86" s="10"/>
      <c r="M86" s="10"/>
      <c r="N86" s="4"/>
      <c r="V86" s="9" t="str">
        <f t="shared" si="60"/>
        <v>[</v>
      </c>
      <c r="Z86" t="str">
        <f t="shared" si="63"/>
        <v>[]</v>
      </c>
      <c r="AA86" s="8" t="str">
        <f t="shared" si="61"/>
        <v>[</v>
      </c>
      <c r="AB86" t="str">
        <f t="shared" si="55"/>
        <v/>
      </c>
      <c r="AC86" t="str">
        <f t="shared" si="56"/>
        <v/>
      </c>
      <c r="AD86" t="str">
        <f t="shared" si="57"/>
        <v>[]</v>
      </c>
      <c r="AE86" t="str">
        <f t="shared" si="58"/>
        <v/>
      </c>
      <c r="AF86" t="str">
        <f t="shared" si="64"/>
        <v>visual_style21</v>
      </c>
      <c r="AG86">
        <f t="shared" si="59"/>
        <v>21</v>
      </c>
      <c r="AH86" t="str">
        <f t="shared" si="62"/>
        <v/>
      </c>
    </row>
    <row r="87" spans="3:34" ht="21.75" customHeight="1" x14ac:dyDescent="0.2">
      <c r="C87" s="1" t="str">
        <f t="shared" si="53"/>
        <v>CV</v>
      </c>
      <c r="D87" s="1" t="str">
        <f t="shared" si="54"/>
        <v>FrequencyDomain</v>
      </c>
      <c r="I87" s="3"/>
      <c r="J87" s="10"/>
      <c r="K87" s="10"/>
      <c r="L87" s="10"/>
      <c r="M87" s="10"/>
      <c r="N87" s="4"/>
      <c r="V87" s="9" t="str">
        <f t="shared" si="60"/>
        <v>[</v>
      </c>
      <c r="Z87" t="str">
        <f t="shared" si="63"/>
        <v>[]</v>
      </c>
      <c r="AA87" s="8" t="str">
        <f t="shared" si="61"/>
        <v>[</v>
      </c>
      <c r="AB87" t="str">
        <f t="shared" si="55"/>
        <v/>
      </c>
      <c r="AC87" t="str">
        <f t="shared" si="56"/>
        <v/>
      </c>
      <c r="AD87" t="str">
        <f t="shared" si="57"/>
        <v>[]</v>
      </c>
      <c r="AE87" t="str">
        <f t="shared" si="58"/>
        <v/>
      </c>
      <c r="AF87" t="str">
        <f t="shared" si="64"/>
        <v>visual_style21</v>
      </c>
      <c r="AG87">
        <f t="shared" si="59"/>
        <v>21</v>
      </c>
      <c r="AH87" t="str">
        <f t="shared" si="62"/>
        <v/>
      </c>
    </row>
    <row r="88" spans="3:34" ht="21.75" customHeight="1" x14ac:dyDescent="0.2">
      <c r="C88" s="1" t="str">
        <f t="shared" si="53"/>
        <v>CV</v>
      </c>
      <c r="D88" s="1" t="str">
        <f t="shared" si="54"/>
        <v>FrequencyDomain</v>
      </c>
      <c r="I88" s="3"/>
      <c r="J88" s="10"/>
      <c r="K88" s="10"/>
      <c r="L88" s="10"/>
      <c r="M88" s="10"/>
      <c r="N88" s="4"/>
      <c r="V88" s="9" t="str">
        <f t="shared" si="60"/>
        <v>[</v>
      </c>
      <c r="Z88" t="str">
        <f t="shared" si="63"/>
        <v>[]</v>
      </c>
      <c r="AA88" s="8" t="str">
        <f t="shared" si="61"/>
        <v>[</v>
      </c>
      <c r="AB88" t="str">
        <f t="shared" si="55"/>
        <v/>
      </c>
      <c r="AC88" t="str">
        <f t="shared" si="56"/>
        <v/>
      </c>
      <c r="AD88" t="str">
        <f t="shared" si="57"/>
        <v>[]</v>
      </c>
      <c r="AE88" t="str">
        <f t="shared" si="58"/>
        <v/>
      </c>
      <c r="AF88" t="str">
        <f t="shared" si="64"/>
        <v>visual_style21</v>
      </c>
      <c r="AG88">
        <f t="shared" si="59"/>
        <v>21</v>
      </c>
      <c r="AH88" t="str">
        <f t="shared" si="62"/>
        <v/>
      </c>
    </row>
    <row r="89" spans="3:34" ht="21.75" customHeight="1" x14ac:dyDescent="0.2">
      <c r="C89" s="1" t="str">
        <f t="shared" si="53"/>
        <v>CV</v>
      </c>
      <c r="D89" s="1" t="str">
        <f t="shared" si="54"/>
        <v>FrequencyDomain</v>
      </c>
      <c r="I89" s="3"/>
      <c r="J89" s="10"/>
      <c r="K89" s="10"/>
      <c r="L89" s="10"/>
      <c r="M89" s="10"/>
      <c r="N89" s="4"/>
      <c r="V89" s="9" t="str">
        <f t="shared" si="60"/>
        <v>[</v>
      </c>
      <c r="Z89" t="str">
        <f t="shared" si="63"/>
        <v>[]</v>
      </c>
      <c r="AA89" s="8" t="str">
        <f t="shared" si="61"/>
        <v>[</v>
      </c>
      <c r="AB89" t="str">
        <f t="shared" si="55"/>
        <v/>
      </c>
      <c r="AC89" t="str">
        <f t="shared" si="56"/>
        <v/>
      </c>
      <c r="AD89" t="str">
        <f t="shared" si="57"/>
        <v>[]</v>
      </c>
      <c r="AE89" t="str">
        <f t="shared" si="58"/>
        <v/>
      </c>
      <c r="AF89" t="str">
        <f t="shared" si="64"/>
        <v>visual_style21</v>
      </c>
      <c r="AG89">
        <f t="shared" si="59"/>
        <v>21</v>
      </c>
      <c r="AH89" t="str">
        <f t="shared" si="62"/>
        <v/>
      </c>
    </row>
    <row r="90" spans="3:34" ht="21.75" customHeight="1" x14ac:dyDescent="0.2">
      <c r="C90" s="1" t="str">
        <f t="shared" ref="C90:C109" si="65">IF(ISBLANK(A90),C89,A90)</f>
        <v>CV</v>
      </c>
      <c r="D90" s="1" t="str">
        <f t="shared" ref="D90:D109" si="66">IF(NOT(ISBLANK(B90)), B90, IF(ISBLANK(A90), D89,A90))</f>
        <v>FrequencyDomain</v>
      </c>
      <c r="I90" s="3"/>
      <c r="J90" s="10"/>
      <c r="K90" s="10"/>
      <c r="L90" s="10"/>
      <c r="M90" s="10"/>
      <c r="N90" s="4"/>
      <c r="V90" s="9" t="str">
        <f t="shared" si="60"/>
        <v>[</v>
      </c>
      <c r="Z90" t="str">
        <f t="shared" si="63"/>
        <v>[]</v>
      </c>
      <c r="AA90" s="8" t="str">
        <f t="shared" si="61"/>
        <v>[</v>
      </c>
      <c r="AB90" t="str">
        <f t="shared" si="55"/>
        <v/>
      </c>
      <c r="AC90" t="str">
        <f t="shared" si="56"/>
        <v/>
      </c>
      <c r="AD90" t="str">
        <f t="shared" si="57"/>
        <v>[]</v>
      </c>
      <c r="AE90" t="str">
        <f t="shared" si="58"/>
        <v/>
      </c>
      <c r="AF90" t="str">
        <f t="shared" si="64"/>
        <v>visual_style21</v>
      </c>
      <c r="AG90">
        <f t="shared" si="59"/>
        <v>21</v>
      </c>
      <c r="AH90" t="str">
        <f t="shared" si="62"/>
        <v/>
      </c>
    </row>
    <row r="91" spans="3:34" ht="21.75" customHeight="1" x14ac:dyDescent="0.2">
      <c r="C91" s="1" t="str">
        <f t="shared" si="65"/>
        <v>CV</v>
      </c>
      <c r="D91" s="1" t="str">
        <f t="shared" si="66"/>
        <v>FrequencyDomain</v>
      </c>
      <c r="I91" s="3"/>
      <c r="J91" s="10"/>
      <c r="K91" s="10"/>
      <c r="L91" s="10"/>
      <c r="M91" s="10"/>
      <c r="N91" s="4"/>
      <c r="V91" s="9" t="str">
        <f t="shared" si="60"/>
        <v>[</v>
      </c>
      <c r="Z91" t="str">
        <f t="shared" si="63"/>
        <v>[]</v>
      </c>
      <c r="AA91" s="8" t="str">
        <f t="shared" si="61"/>
        <v>[</v>
      </c>
      <c r="AB91" t="str">
        <f t="shared" si="55"/>
        <v/>
      </c>
      <c r="AC91" t="str">
        <f t="shared" si="56"/>
        <v/>
      </c>
      <c r="AD91" t="str">
        <f t="shared" si="57"/>
        <v>[]</v>
      </c>
      <c r="AE91" t="str">
        <f t="shared" si="58"/>
        <v/>
      </c>
      <c r="AF91" t="str">
        <f t="shared" si="64"/>
        <v>visual_style21</v>
      </c>
      <c r="AG91">
        <f t="shared" si="59"/>
        <v>21</v>
      </c>
      <c r="AH91" t="str">
        <f t="shared" si="62"/>
        <v/>
      </c>
    </row>
    <row r="92" spans="3:34" ht="21.75" customHeight="1" x14ac:dyDescent="0.2">
      <c r="C92" s="1" t="str">
        <f t="shared" si="65"/>
        <v>CV</v>
      </c>
      <c r="D92" s="1" t="str">
        <f t="shared" si="66"/>
        <v>FrequencyDomain</v>
      </c>
      <c r="I92" s="3"/>
      <c r="J92" s="10"/>
      <c r="K92" s="10"/>
      <c r="L92" s="10"/>
      <c r="M92" s="10"/>
      <c r="N92" s="4"/>
      <c r="V92" s="9" t="str">
        <f t="shared" si="60"/>
        <v>[</v>
      </c>
      <c r="Z92" t="str">
        <f t="shared" si="63"/>
        <v>[]</v>
      </c>
      <c r="AA92" s="8" t="str">
        <f t="shared" si="61"/>
        <v>[</v>
      </c>
      <c r="AB92" t="str">
        <f t="shared" si="55"/>
        <v/>
      </c>
      <c r="AC92" t="str">
        <f t="shared" si="56"/>
        <v/>
      </c>
      <c r="AD92" t="str">
        <f t="shared" si="57"/>
        <v>[]</v>
      </c>
      <c r="AE92" t="str">
        <f t="shared" si="58"/>
        <v/>
      </c>
      <c r="AF92" t="str">
        <f t="shared" si="64"/>
        <v>visual_style21</v>
      </c>
      <c r="AG92">
        <f t="shared" si="59"/>
        <v>21</v>
      </c>
      <c r="AH92" t="str">
        <f t="shared" si="62"/>
        <v/>
      </c>
    </row>
    <row r="93" spans="3:34" ht="21.75" customHeight="1" x14ac:dyDescent="0.2">
      <c r="C93" s="1" t="str">
        <f t="shared" si="65"/>
        <v>CV</v>
      </c>
      <c r="D93" s="1" t="str">
        <f t="shared" si="66"/>
        <v>FrequencyDomain</v>
      </c>
      <c r="I93" s="3"/>
      <c r="J93" s="10"/>
      <c r="K93" s="10"/>
      <c r="L93" s="10"/>
      <c r="M93" s="10"/>
      <c r="N93" s="4"/>
      <c r="V93" s="9" t="str">
        <f t="shared" si="60"/>
        <v>[</v>
      </c>
      <c r="Z93" t="str">
        <f t="shared" si="63"/>
        <v>[]</v>
      </c>
      <c r="AA93" s="8" t="str">
        <f t="shared" si="61"/>
        <v>[</v>
      </c>
      <c r="AB93" t="str">
        <f t="shared" si="55"/>
        <v/>
      </c>
      <c r="AC93" t="str">
        <f t="shared" si="56"/>
        <v/>
      </c>
      <c r="AD93" t="str">
        <f t="shared" si="57"/>
        <v>[]</v>
      </c>
      <c r="AE93" t="str">
        <f t="shared" si="58"/>
        <v/>
      </c>
      <c r="AF93" t="str">
        <f t="shared" si="64"/>
        <v>visual_style21</v>
      </c>
      <c r="AG93">
        <f t="shared" si="59"/>
        <v>21</v>
      </c>
      <c r="AH93" t="str">
        <f t="shared" si="62"/>
        <v/>
      </c>
    </row>
    <row r="94" spans="3:34" ht="21.75" customHeight="1" x14ac:dyDescent="0.2">
      <c r="C94" s="1" t="str">
        <f t="shared" si="65"/>
        <v>CV</v>
      </c>
      <c r="D94" s="1" t="str">
        <f t="shared" si="66"/>
        <v>FrequencyDomain</v>
      </c>
      <c r="I94" s="3"/>
      <c r="J94" s="10"/>
      <c r="K94" s="10"/>
      <c r="L94" s="10"/>
      <c r="M94" s="10"/>
      <c r="N94" s="4"/>
      <c r="V94" s="9" t="str">
        <f t="shared" si="60"/>
        <v>[</v>
      </c>
      <c r="Z94" t="str">
        <f t="shared" si="63"/>
        <v>[]</v>
      </c>
      <c r="AA94" s="8" t="str">
        <f t="shared" si="61"/>
        <v>[</v>
      </c>
      <c r="AB94" t="str">
        <f t="shared" si="55"/>
        <v/>
      </c>
      <c r="AC94" t="str">
        <f t="shared" si="56"/>
        <v/>
      </c>
      <c r="AD94" t="str">
        <f t="shared" si="57"/>
        <v>[]</v>
      </c>
      <c r="AE94" t="str">
        <f t="shared" si="58"/>
        <v/>
      </c>
      <c r="AF94" t="str">
        <f t="shared" si="64"/>
        <v>visual_style21</v>
      </c>
      <c r="AG94">
        <f t="shared" si="59"/>
        <v>21</v>
      </c>
      <c r="AH94" t="str">
        <f t="shared" si="62"/>
        <v/>
      </c>
    </row>
    <row r="95" spans="3:34" ht="21.75" customHeight="1" x14ac:dyDescent="0.2">
      <c r="C95" s="1" t="str">
        <f t="shared" si="65"/>
        <v>CV</v>
      </c>
      <c r="D95" s="1" t="str">
        <f t="shared" si="66"/>
        <v>FrequencyDomain</v>
      </c>
      <c r="I95" s="3"/>
      <c r="J95" s="10"/>
      <c r="K95" s="10"/>
      <c r="L95" s="10"/>
      <c r="M95" s="10"/>
      <c r="N95" s="4"/>
      <c r="V95" s="9" t="str">
        <f t="shared" si="60"/>
        <v>[</v>
      </c>
      <c r="Z95" t="str">
        <f t="shared" si="63"/>
        <v>[]</v>
      </c>
      <c r="AA95" s="8" t="str">
        <f t="shared" si="61"/>
        <v>[</v>
      </c>
      <c r="AB95" t="str">
        <f t="shared" si="55"/>
        <v/>
      </c>
      <c r="AC95" t="str">
        <f t="shared" si="56"/>
        <v/>
      </c>
      <c r="AD95" t="str">
        <f t="shared" si="57"/>
        <v>[]</v>
      </c>
      <c r="AE95" t="str">
        <f t="shared" si="58"/>
        <v/>
      </c>
      <c r="AF95" t="str">
        <f t="shared" si="64"/>
        <v>visual_style21</v>
      </c>
      <c r="AG95">
        <f t="shared" si="59"/>
        <v>21</v>
      </c>
      <c r="AH95" t="str">
        <f t="shared" si="62"/>
        <v/>
      </c>
    </row>
    <row r="96" spans="3:34" ht="21.75" customHeight="1" x14ac:dyDescent="0.2">
      <c r="C96" s="1" t="str">
        <f t="shared" si="65"/>
        <v>CV</v>
      </c>
      <c r="D96" s="1" t="str">
        <f t="shared" si="66"/>
        <v>FrequencyDomain</v>
      </c>
      <c r="I96" s="3"/>
      <c r="J96" s="10"/>
      <c r="K96" s="10"/>
      <c r="L96" s="10"/>
      <c r="M96" s="10"/>
      <c r="N96" s="4"/>
      <c r="V96" s="9" t="str">
        <f t="shared" si="60"/>
        <v>[</v>
      </c>
      <c r="Z96" t="str">
        <f t="shared" si="63"/>
        <v>[]</v>
      </c>
      <c r="AA96" s="8" t="str">
        <f t="shared" si="61"/>
        <v>[</v>
      </c>
      <c r="AB96" t="str">
        <f t="shared" si="55"/>
        <v/>
      </c>
      <c r="AC96" t="str">
        <f t="shared" si="56"/>
        <v/>
      </c>
      <c r="AD96" t="str">
        <f t="shared" si="57"/>
        <v>[]</v>
      </c>
      <c r="AE96" t="str">
        <f t="shared" si="58"/>
        <v/>
      </c>
      <c r="AF96" t="str">
        <f t="shared" si="64"/>
        <v>visual_style21</v>
      </c>
      <c r="AG96">
        <f t="shared" si="59"/>
        <v>21</v>
      </c>
      <c r="AH96" t="str">
        <f t="shared" si="62"/>
        <v/>
      </c>
    </row>
    <row r="97" spans="3:34" ht="21.75" customHeight="1" x14ac:dyDescent="0.2">
      <c r="C97" s="1" t="str">
        <f t="shared" si="65"/>
        <v>CV</v>
      </c>
      <c r="D97" s="1" t="str">
        <f t="shared" si="66"/>
        <v>FrequencyDomain</v>
      </c>
      <c r="I97" s="3"/>
      <c r="J97" s="10"/>
      <c r="K97" s="10"/>
      <c r="L97" s="10"/>
      <c r="M97" s="10"/>
      <c r="N97" s="4"/>
      <c r="V97" s="9" t="str">
        <f t="shared" si="60"/>
        <v>[</v>
      </c>
      <c r="Z97" t="str">
        <f t="shared" si="63"/>
        <v>[]</v>
      </c>
      <c r="AA97" s="8" t="str">
        <f t="shared" si="61"/>
        <v>[</v>
      </c>
      <c r="AB97" t="str">
        <f t="shared" si="55"/>
        <v/>
      </c>
      <c r="AC97" t="str">
        <f t="shared" si="56"/>
        <v/>
      </c>
      <c r="AD97" t="str">
        <f t="shared" si="57"/>
        <v>[]</v>
      </c>
      <c r="AE97" t="str">
        <f t="shared" si="58"/>
        <v/>
      </c>
      <c r="AF97" t="str">
        <f t="shared" si="64"/>
        <v>visual_style21</v>
      </c>
      <c r="AG97">
        <f t="shared" si="59"/>
        <v>21</v>
      </c>
      <c r="AH97" t="str">
        <f t="shared" si="62"/>
        <v/>
      </c>
    </row>
    <row r="98" spans="3:34" ht="21.75" customHeight="1" x14ac:dyDescent="0.2">
      <c r="C98" s="1" t="str">
        <f t="shared" si="65"/>
        <v>CV</v>
      </c>
      <c r="D98" s="1" t="str">
        <f t="shared" si="66"/>
        <v>FrequencyDomain</v>
      </c>
      <c r="I98" s="3"/>
      <c r="J98" s="10"/>
      <c r="K98" s="10"/>
      <c r="L98" s="10"/>
      <c r="M98" s="10"/>
      <c r="N98" s="4"/>
      <c r="V98" s="9" t="str">
        <f t="shared" si="60"/>
        <v>[</v>
      </c>
      <c r="Z98" t="str">
        <f t="shared" si="63"/>
        <v>[]</v>
      </c>
      <c r="AA98" s="8" t="str">
        <f t="shared" si="61"/>
        <v>[</v>
      </c>
      <c r="AB98" t="str">
        <f t="shared" si="55"/>
        <v/>
      </c>
      <c r="AC98" t="str">
        <f t="shared" si="56"/>
        <v/>
      </c>
      <c r="AD98" t="str">
        <f t="shared" si="57"/>
        <v>[]</v>
      </c>
      <c r="AE98" t="str">
        <f t="shared" si="58"/>
        <v/>
      </c>
      <c r="AF98" t="str">
        <f t="shared" si="64"/>
        <v>visual_style21</v>
      </c>
      <c r="AG98">
        <f t="shared" si="59"/>
        <v>21</v>
      </c>
      <c r="AH98" t="str">
        <f t="shared" si="62"/>
        <v/>
      </c>
    </row>
    <row r="99" spans="3:34" ht="21.75" customHeight="1" x14ac:dyDescent="0.2">
      <c r="C99" s="1" t="str">
        <f t="shared" si="65"/>
        <v>CV</v>
      </c>
      <c r="D99" s="1" t="str">
        <f t="shared" si="66"/>
        <v>FrequencyDomain</v>
      </c>
      <c r="I99" s="3"/>
      <c r="J99" s="10"/>
      <c r="K99" s="10"/>
      <c r="L99" s="10"/>
      <c r="M99" s="10"/>
      <c r="N99" s="4"/>
      <c r="V99" s="9" t="str">
        <f t="shared" si="60"/>
        <v>[</v>
      </c>
      <c r="Z99" t="str">
        <f t="shared" si="63"/>
        <v>[]</v>
      </c>
      <c r="AA99" s="8" t="str">
        <f t="shared" si="61"/>
        <v>[</v>
      </c>
      <c r="AB99" t="str">
        <f t="shared" si="55"/>
        <v/>
      </c>
      <c r="AC99" t="str">
        <f t="shared" si="56"/>
        <v/>
      </c>
      <c r="AD99" t="str">
        <f t="shared" si="57"/>
        <v>[]</v>
      </c>
      <c r="AE99" t="str">
        <f t="shared" si="58"/>
        <v/>
      </c>
      <c r="AF99" t="str">
        <f t="shared" si="64"/>
        <v>visual_style21</v>
      </c>
      <c r="AG99">
        <f t="shared" si="59"/>
        <v>21</v>
      </c>
      <c r="AH99" t="str">
        <f t="shared" si="62"/>
        <v/>
      </c>
    </row>
    <row r="100" spans="3:34" ht="21.75" customHeight="1" x14ac:dyDescent="0.2">
      <c r="C100" s="1" t="str">
        <f t="shared" si="65"/>
        <v>CV</v>
      </c>
      <c r="D100" s="1" t="str">
        <f t="shared" si="66"/>
        <v>FrequencyDomain</v>
      </c>
      <c r="I100" s="3"/>
      <c r="J100" s="10"/>
      <c r="K100" s="10"/>
      <c r="L100" s="10"/>
      <c r="M100" s="10"/>
      <c r="N100" s="4"/>
      <c r="V100" s="9" t="str">
        <f t="shared" si="60"/>
        <v>[</v>
      </c>
      <c r="Z100" t="str">
        <f t="shared" si="63"/>
        <v>[]</v>
      </c>
      <c r="AA100" s="8" t="str">
        <f t="shared" si="61"/>
        <v>[</v>
      </c>
      <c r="AB100" t="str">
        <f t="shared" si="55"/>
        <v/>
      </c>
      <c r="AC100" t="str">
        <f t="shared" si="56"/>
        <v/>
      </c>
      <c r="AD100" t="str">
        <f t="shared" si="57"/>
        <v>[]</v>
      </c>
      <c r="AE100" t="str">
        <f t="shared" si="58"/>
        <v/>
      </c>
      <c r="AF100" t="str">
        <f t="shared" si="64"/>
        <v>visual_style21</v>
      </c>
      <c r="AG100">
        <f t="shared" si="59"/>
        <v>21</v>
      </c>
      <c r="AH100" t="str">
        <f t="shared" si="62"/>
        <v/>
      </c>
    </row>
    <row r="101" spans="3:34" ht="21.75" customHeight="1" x14ac:dyDescent="0.2">
      <c r="C101" s="1" t="str">
        <f t="shared" si="65"/>
        <v>CV</v>
      </c>
      <c r="D101" s="1" t="str">
        <f t="shared" si="66"/>
        <v>FrequencyDomain</v>
      </c>
      <c r="I101" s="3"/>
      <c r="J101" s="10"/>
      <c r="K101" s="10"/>
      <c r="L101" s="10"/>
      <c r="M101" s="10"/>
      <c r="N101" s="4"/>
      <c r="V101" s="9" t="str">
        <f t="shared" si="60"/>
        <v>[</v>
      </c>
      <c r="Z101" t="str">
        <f t="shared" si="63"/>
        <v>[]</v>
      </c>
      <c r="AA101" s="8" t="str">
        <f t="shared" si="61"/>
        <v>[</v>
      </c>
      <c r="AB101" t="str">
        <f t="shared" si="55"/>
        <v/>
      </c>
      <c r="AC101" t="str">
        <f t="shared" si="56"/>
        <v/>
      </c>
      <c r="AD101" t="str">
        <f t="shared" si="57"/>
        <v>[]</v>
      </c>
      <c r="AE101" t="str">
        <f t="shared" si="58"/>
        <v/>
      </c>
      <c r="AF101" t="str">
        <f t="shared" si="64"/>
        <v>visual_style21</v>
      </c>
      <c r="AG101">
        <f t="shared" si="59"/>
        <v>21</v>
      </c>
      <c r="AH101" t="str">
        <f t="shared" si="62"/>
        <v/>
      </c>
    </row>
    <row r="102" spans="3:34" ht="21.75" customHeight="1" x14ac:dyDescent="0.2">
      <c r="C102" s="1" t="str">
        <f t="shared" si="65"/>
        <v>CV</v>
      </c>
      <c r="D102" s="1" t="str">
        <f t="shared" si="66"/>
        <v>FrequencyDomain</v>
      </c>
      <c r="I102" s="3"/>
      <c r="J102" s="10"/>
      <c r="K102" s="10"/>
      <c r="L102" s="10"/>
      <c r="M102" s="10"/>
      <c r="N102" s="4"/>
      <c r="V102" s="9" t="str">
        <f t="shared" si="60"/>
        <v>[</v>
      </c>
      <c r="Z102" t="str">
        <f t="shared" si="63"/>
        <v>[]</v>
      </c>
      <c r="AA102" s="8" t="str">
        <f t="shared" si="61"/>
        <v>[</v>
      </c>
      <c r="AB102" t="str">
        <f t="shared" si="55"/>
        <v/>
      </c>
      <c r="AC102" t="str">
        <f t="shared" si="56"/>
        <v/>
      </c>
      <c r="AD102" t="str">
        <f t="shared" si="57"/>
        <v>[]</v>
      </c>
      <c r="AE102" t="str">
        <f t="shared" si="58"/>
        <v/>
      </c>
      <c r="AF102" t="str">
        <f t="shared" si="64"/>
        <v>visual_style21</v>
      </c>
      <c r="AG102">
        <f t="shared" si="59"/>
        <v>21</v>
      </c>
      <c r="AH102" t="str">
        <f t="shared" si="62"/>
        <v/>
      </c>
    </row>
    <row r="103" spans="3:34" ht="21.75" customHeight="1" x14ac:dyDescent="0.2">
      <c r="C103" s="1" t="str">
        <f t="shared" si="65"/>
        <v>CV</v>
      </c>
      <c r="D103" s="1" t="str">
        <f t="shared" si="66"/>
        <v>FrequencyDomain</v>
      </c>
      <c r="I103" s="3"/>
      <c r="J103" s="10"/>
      <c r="K103" s="10"/>
      <c r="L103" s="10"/>
      <c r="M103" s="10"/>
      <c r="N103" s="4"/>
      <c r="V103" s="9" t="str">
        <f t="shared" si="60"/>
        <v>[</v>
      </c>
      <c r="Z103" t="str">
        <f t="shared" si="63"/>
        <v>[]</v>
      </c>
      <c r="AA103" s="8" t="str">
        <f t="shared" si="61"/>
        <v>[</v>
      </c>
      <c r="AB103" t="str">
        <f t="shared" si="55"/>
        <v/>
      </c>
      <c r="AC103" t="str">
        <f t="shared" si="56"/>
        <v/>
      </c>
      <c r="AD103" t="str">
        <f t="shared" si="57"/>
        <v>[]</v>
      </c>
      <c r="AE103" t="str">
        <f t="shared" si="58"/>
        <v/>
      </c>
      <c r="AF103" t="str">
        <f t="shared" si="64"/>
        <v>visual_style21</v>
      </c>
      <c r="AG103">
        <f t="shared" si="59"/>
        <v>21</v>
      </c>
      <c r="AH103" t="str">
        <f t="shared" si="62"/>
        <v/>
      </c>
    </row>
    <row r="104" spans="3:34" ht="21.75" customHeight="1" x14ac:dyDescent="0.2">
      <c r="C104" s="1" t="str">
        <f t="shared" si="65"/>
        <v>CV</v>
      </c>
      <c r="D104" s="1" t="str">
        <f t="shared" si="66"/>
        <v>FrequencyDomain</v>
      </c>
      <c r="I104" s="3"/>
      <c r="J104" s="10"/>
      <c r="K104" s="10"/>
      <c r="L104" s="10"/>
      <c r="M104" s="10"/>
      <c r="N104" s="4"/>
      <c r="V104" s="9" t="str">
        <f t="shared" si="60"/>
        <v>[</v>
      </c>
      <c r="Z104" t="str">
        <f t="shared" si="63"/>
        <v>[]</v>
      </c>
      <c r="AA104" s="8" t="str">
        <f t="shared" si="61"/>
        <v>[</v>
      </c>
      <c r="AB104" t="str">
        <f t="shared" si="55"/>
        <v/>
      </c>
      <c r="AC104" t="str">
        <f t="shared" si="56"/>
        <v/>
      </c>
      <c r="AD104" t="str">
        <f t="shared" si="57"/>
        <v>[]</v>
      </c>
      <c r="AE104" t="str">
        <f t="shared" si="58"/>
        <v/>
      </c>
      <c r="AF104" t="str">
        <f t="shared" si="64"/>
        <v>visual_style21</v>
      </c>
      <c r="AG104">
        <f t="shared" si="59"/>
        <v>21</v>
      </c>
      <c r="AH104" t="str">
        <f t="shared" si="62"/>
        <v/>
      </c>
    </row>
    <row r="105" spans="3:34" ht="21.75" customHeight="1" x14ac:dyDescent="0.2">
      <c r="C105" s="1" t="str">
        <f t="shared" si="65"/>
        <v>CV</v>
      </c>
      <c r="D105" s="1" t="str">
        <f t="shared" si="66"/>
        <v>FrequencyDomain</v>
      </c>
      <c r="I105" s="3"/>
      <c r="J105" s="10"/>
      <c r="K105" s="10"/>
      <c r="L105" s="10"/>
      <c r="M105" s="10"/>
      <c r="N105" s="4"/>
      <c r="V105" s="9" t="str">
        <f t="shared" si="60"/>
        <v>[</v>
      </c>
      <c r="Z105" t="str">
        <f t="shared" si="63"/>
        <v>[]</v>
      </c>
      <c r="AA105" s="8" t="str">
        <f t="shared" si="61"/>
        <v>[</v>
      </c>
      <c r="AB105" t="str">
        <f t="shared" si="55"/>
        <v/>
      </c>
      <c r="AC105" t="str">
        <f t="shared" si="56"/>
        <v/>
      </c>
      <c r="AD105" t="str">
        <f t="shared" si="57"/>
        <v>[]</v>
      </c>
      <c r="AE105" t="str">
        <f t="shared" si="58"/>
        <v/>
      </c>
      <c r="AF105" t="str">
        <f t="shared" si="64"/>
        <v>visual_style21</v>
      </c>
      <c r="AG105">
        <f t="shared" si="59"/>
        <v>21</v>
      </c>
      <c r="AH105" t="str">
        <f t="shared" si="62"/>
        <v/>
      </c>
    </row>
    <row r="106" spans="3:34" ht="21.75" customHeight="1" x14ac:dyDescent="0.2">
      <c r="C106" s="1" t="str">
        <f t="shared" si="65"/>
        <v>CV</v>
      </c>
      <c r="D106" s="1" t="str">
        <f t="shared" si="66"/>
        <v>FrequencyDomain</v>
      </c>
      <c r="I106" s="3"/>
      <c r="J106" s="10"/>
      <c r="K106" s="10"/>
      <c r="L106" s="10"/>
      <c r="M106" s="10"/>
      <c r="N106" s="4"/>
      <c r="V106" s="9" t="str">
        <f t="shared" si="60"/>
        <v>[</v>
      </c>
      <c r="Z106" t="str">
        <f t="shared" si="63"/>
        <v>[]</v>
      </c>
      <c r="AA106" s="8" t="str">
        <f t="shared" si="61"/>
        <v>[</v>
      </c>
      <c r="AB106" t="str">
        <f t="shared" si="55"/>
        <v/>
      </c>
      <c r="AC106" t="str">
        <f t="shared" si="56"/>
        <v/>
      </c>
      <c r="AD106" t="str">
        <f t="shared" si="57"/>
        <v>[]</v>
      </c>
      <c r="AE106" t="str">
        <f t="shared" si="58"/>
        <v/>
      </c>
      <c r="AF106" t="str">
        <f t="shared" si="64"/>
        <v>visual_style21</v>
      </c>
      <c r="AG106">
        <f t="shared" si="59"/>
        <v>21</v>
      </c>
      <c r="AH106" t="str">
        <f t="shared" si="62"/>
        <v/>
      </c>
    </row>
    <row r="107" spans="3:34" ht="21.75" customHeight="1" x14ac:dyDescent="0.2">
      <c r="C107" s="1" t="str">
        <f t="shared" si="65"/>
        <v>CV</v>
      </c>
      <c r="D107" s="1" t="str">
        <f t="shared" si="66"/>
        <v>FrequencyDomain</v>
      </c>
      <c r="I107" s="3"/>
      <c r="J107" s="10"/>
      <c r="K107" s="10"/>
      <c r="L107" s="10"/>
      <c r="M107" s="10"/>
      <c r="N107" s="4"/>
      <c r="V107" s="9" t="str">
        <f t="shared" si="60"/>
        <v>[</v>
      </c>
      <c r="Z107" t="str">
        <f t="shared" si="63"/>
        <v>[]</v>
      </c>
      <c r="AA107" s="8" t="str">
        <f t="shared" si="61"/>
        <v>[</v>
      </c>
      <c r="AB107" t="str">
        <f t="shared" si="55"/>
        <v/>
      </c>
      <c r="AC107" t="str">
        <f t="shared" si="56"/>
        <v/>
      </c>
      <c r="AD107" t="str">
        <f t="shared" si="57"/>
        <v>[]</v>
      </c>
      <c r="AE107" t="str">
        <f t="shared" si="58"/>
        <v/>
      </c>
      <c r="AF107" t="str">
        <f t="shared" si="64"/>
        <v>visual_style21</v>
      </c>
      <c r="AG107">
        <f t="shared" si="59"/>
        <v>21</v>
      </c>
      <c r="AH107" t="str">
        <f t="shared" si="62"/>
        <v/>
      </c>
    </row>
    <row r="108" spans="3:34" ht="21.75" customHeight="1" x14ac:dyDescent="0.2">
      <c r="C108" s="1" t="str">
        <f t="shared" si="65"/>
        <v>CV</v>
      </c>
      <c r="D108" s="1" t="str">
        <f t="shared" si="66"/>
        <v>FrequencyDomain</v>
      </c>
      <c r="I108" s="3"/>
      <c r="J108" s="10"/>
      <c r="K108" s="10"/>
      <c r="L108" s="10"/>
      <c r="M108" s="10"/>
      <c r="N108" s="4"/>
      <c r="V108" s="9" t="str">
        <f t="shared" si="60"/>
        <v>[</v>
      </c>
      <c r="Z108" t="str">
        <f t="shared" si="63"/>
        <v>[]</v>
      </c>
      <c r="AA108" s="8" t="str">
        <f t="shared" si="61"/>
        <v>[</v>
      </c>
      <c r="AB108" t="str">
        <f t="shared" si="55"/>
        <v/>
      </c>
      <c r="AC108" t="str">
        <f t="shared" si="56"/>
        <v/>
      </c>
      <c r="AD108" t="str">
        <f t="shared" si="57"/>
        <v>[]</v>
      </c>
      <c r="AE108" t="str">
        <f t="shared" si="58"/>
        <v/>
      </c>
      <c r="AF108" t="str">
        <f t="shared" si="64"/>
        <v>visual_style21</v>
      </c>
      <c r="AG108">
        <f t="shared" si="59"/>
        <v>21</v>
      </c>
      <c r="AH108" t="str">
        <f t="shared" si="62"/>
        <v/>
      </c>
    </row>
    <row r="109" spans="3:34" ht="21.75" customHeight="1" x14ac:dyDescent="0.2">
      <c r="C109" s="1" t="str">
        <f t="shared" si="65"/>
        <v>CV</v>
      </c>
      <c r="D109" s="1" t="str">
        <f t="shared" si="66"/>
        <v>FrequencyDomain</v>
      </c>
      <c r="I109" s="3"/>
      <c r="J109" s="10"/>
      <c r="K109" s="10"/>
      <c r="L109" s="10"/>
      <c r="M109" s="10"/>
      <c r="N109" s="4"/>
      <c r="V109" s="9" t="str">
        <f t="shared" si="60"/>
        <v>[</v>
      </c>
      <c r="Z109" t="str">
        <f t="shared" si="63"/>
        <v>[]</v>
      </c>
      <c r="AA109" s="8" t="str">
        <f t="shared" si="61"/>
        <v>[</v>
      </c>
      <c r="AB109" t="str">
        <f t="shared" si="55"/>
        <v/>
      </c>
      <c r="AC109" t="str">
        <f t="shared" si="56"/>
        <v/>
      </c>
      <c r="AD109" t="str">
        <f t="shared" si="57"/>
        <v>[]</v>
      </c>
      <c r="AE109" t="str">
        <f t="shared" si="58"/>
        <v/>
      </c>
      <c r="AF109" t="str">
        <f t="shared" si="64"/>
        <v>visual_style21</v>
      </c>
      <c r="AG109">
        <f t="shared" si="59"/>
        <v>21</v>
      </c>
      <c r="AH109" t="str">
        <f t="shared" si="62"/>
        <v/>
      </c>
    </row>
    <row r="110" spans="3:34" x14ac:dyDescent="0.2">
      <c r="I110" s="3"/>
      <c r="J110" s="10"/>
      <c r="K110" s="10"/>
      <c r="L110" s="10"/>
      <c r="M110" s="10"/>
      <c r="N110" s="4"/>
    </row>
    <row r="111" spans="3:34" x14ac:dyDescent="0.2">
      <c r="I111" s="3"/>
      <c r="J111" s="10"/>
      <c r="K111" s="10"/>
      <c r="L111" s="10"/>
      <c r="M111" s="10"/>
      <c r="N111" s="4"/>
    </row>
    <row r="112" spans="3:34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4">
    <mergeCell ref="F1:I1"/>
    <mergeCell ref="N1:P1"/>
    <mergeCell ref="J1:M1"/>
    <mergeCell ref="Q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tabSelected="1" workbookViewId="0">
      <selection activeCell="F12" sqref="F12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49" customWidth="1"/>
  </cols>
  <sheetData>
    <row r="1" spans="1:6" x14ac:dyDescent="0.2">
      <c r="A1" t="s">
        <v>176</v>
      </c>
    </row>
    <row r="2" spans="1:6" x14ac:dyDescent="0.2">
      <c r="B2" t="s">
        <v>177</v>
      </c>
      <c r="D2" t="s">
        <v>210</v>
      </c>
      <c r="F2" t="s">
        <v>238</v>
      </c>
    </row>
    <row r="3" spans="1:6" x14ac:dyDescent="0.2">
      <c r="B3" t="s">
        <v>175</v>
      </c>
      <c r="F3" t="s">
        <v>239</v>
      </c>
    </row>
    <row r="4" spans="1:6" x14ac:dyDescent="0.2">
      <c r="B4" t="s">
        <v>178</v>
      </c>
      <c r="F4" t="s">
        <v>240</v>
      </c>
    </row>
    <row r="5" spans="1:6" ht="25.5" x14ac:dyDescent="0.2">
      <c r="B5" t="s">
        <v>211</v>
      </c>
      <c r="D5" t="s">
        <v>212</v>
      </c>
      <c r="F5" t="s">
        <v>241</v>
      </c>
    </row>
    <row r="6" spans="1:6" x14ac:dyDescent="0.2">
      <c r="A6" t="s">
        <v>179</v>
      </c>
    </row>
    <row r="7" spans="1:6" x14ac:dyDescent="0.2">
      <c r="B7" t="s">
        <v>180</v>
      </c>
      <c r="F7" t="s">
        <v>242</v>
      </c>
    </row>
    <row r="8" spans="1:6" x14ac:dyDescent="0.2">
      <c r="B8" t="s">
        <v>181</v>
      </c>
      <c r="F8" t="s">
        <v>242</v>
      </c>
    </row>
    <row r="9" spans="1:6" x14ac:dyDescent="0.2">
      <c r="B9" t="s">
        <v>182</v>
      </c>
      <c r="F9" t="s">
        <v>242</v>
      </c>
    </row>
    <row r="10" spans="1:6" x14ac:dyDescent="0.2">
      <c r="B10" t="s">
        <v>191</v>
      </c>
      <c r="F10" t="s">
        <v>242</v>
      </c>
    </row>
    <row r="11" spans="1:6" x14ac:dyDescent="0.2">
      <c r="A11" t="s">
        <v>183</v>
      </c>
    </row>
    <row r="12" spans="1:6" x14ac:dyDescent="0.2">
      <c r="B12" t="s">
        <v>183</v>
      </c>
    </row>
    <row r="13" spans="1:6" x14ac:dyDescent="0.2">
      <c r="B13" t="s">
        <v>243</v>
      </c>
    </row>
    <row r="14" spans="1:6" x14ac:dyDescent="0.2">
      <c r="B14" t="s">
        <v>244</v>
      </c>
    </row>
    <row r="15" spans="1:6" x14ac:dyDescent="0.2">
      <c r="B15" t="s">
        <v>185</v>
      </c>
    </row>
    <row r="16" spans="1:6" x14ac:dyDescent="0.2">
      <c r="B16" t="s">
        <v>186</v>
      </c>
    </row>
    <row r="17" spans="1:2" x14ac:dyDescent="0.2">
      <c r="B17" t="s">
        <v>187</v>
      </c>
    </row>
    <row r="18" spans="1:2" x14ac:dyDescent="0.2">
      <c r="B18" t="s">
        <v>188</v>
      </c>
    </row>
    <row r="19" spans="1:2" x14ac:dyDescent="0.2">
      <c r="A19" t="s">
        <v>189</v>
      </c>
    </row>
    <row r="20" spans="1:2" x14ac:dyDescent="0.2">
      <c r="B20" t="s">
        <v>189</v>
      </c>
    </row>
    <row r="21" spans="1:2" x14ac:dyDescent="0.2">
      <c r="B21" t="s">
        <v>190</v>
      </c>
    </row>
    <row r="22" spans="1:2" x14ac:dyDescent="0.2">
      <c r="A22" t="s">
        <v>182</v>
      </c>
    </row>
    <row r="23" spans="1:2" x14ac:dyDescent="0.2">
      <c r="B23" t="s">
        <v>192</v>
      </c>
    </row>
    <row r="24" spans="1:2" x14ac:dyDescent="0.2">
      <c r="B24" t="s">
        <v>193</v>
      </c>
    </row>
    <row r="25" spans="1:2" x14ac:dyDescent="0.2">
      <c r="B25" t="s">
        <v>194</v>
      </c>
    </row>
    <row r="26" spans="1:2" x14ac:dyDescent="0.2">
      <c r="B26" t="s">
        <v>195</v>
      </c>
    </row>
    <row r="27" spans="1:2" x14ac:dyDescent="0.2">
      <c r="B27" t="s">
        <v>196</v>
      </c>
    </row>
    <row r="28" spans="1:2" x14ac:dyDescent="0.2">
      <c r="B28" t="s">
        <v>204</v>
      </c>
    </row>
    <row r="29" spans="1:2" x14ac:dyDescent="0.2">
      <c r="A29" t="s">
        <v>197</v>
      </c>
    </row>
    <row r="30" spans="1:2" x14ac:dyDescent="0.2">
      <c r="B30" t="s">
        <v>198</v>
      </c>
    </row>
    <row r="32" spans="1:2" x14ac:dyDescent="0.2">
      <c r="A32" t="s">
        <v>184</v>
      </c>
    </row>
    <row r="33" spans="1:6" ht="25.5" x14ac:dyDescent="0.2">
      <c r="B33" t="s">
        <v>199</v>
      </c>
    </row>
    <row r="34" spans="1:6" x14ac:dyDescent="0.2">
      <c r="B34" t="s">
        <v>200</v>
      </c>
    </row>
    <row r="35" spans="1:6" x14ac:dyDescent="0.2">
      <c r="A35" t="s">
        <v>215</v>
      </c>
    </row>
    <row r="36" spans="1:6" ht="25.5" x14ac:dyDescent="0.2">
      <c r="B36" t="s">
        <v>213</v>
      </c>
      <c r="F36" t="s">
        <v>245</v>
      </c>
    </row>
    <row r="37" spans="1:6" x14ac:dyDescent="0.2">
      <c r="B37" t="s">
        <v>214</v>
      </c>
    </row>
    <row r="39" spans="1:6" x14ac:dyDescent="0.2">
      <c r="A39" t="s">
        <v>201</v>
      </c>
    </row>
    <row r="40" spans="1:6" x14ac:dyDescent="0.2">
      <c r="B40" t="s">
        <v>202</v>
      </c>
    </row>
    <row r="41" spans="1:6" x14ac:dyDescent="0.2">
      <c r="B41" t="s">
        <v>203</v>
      </c>
    </row>
    <row r="45" spans="1:6" x14ac:dyDescent="0.2">
      <c r="A45" t="s">
        <v>205</v>
      </c>
    </row>
    <row r="46" spans="1:6" x14ac:dyDescent="0.2">
      <c r="B46" t="s">
        <v>206</v>
      </c>
    </row>
    <row r="47" spans="1:6" x14ac:dyDescent="0.2">
      <c r="B47" t="s">
        <v>207</v>
      </c>
    </row>
    <row r="48" spans="1:6" x14ac:dyDescent="0.2">
      <c r="A48" t="s">
        <v>208</v>
      </c>
    </row>
    <row r="49" spans="2:2" x14ac:dyDescent="0.2">
      <c r="B49" t="s">
        <v>209</v>
      </c>
    </row>
    <row r="50" spans="2:2" ht="25.5" x14ac:dyDescent="0.2">
      <c r="B50" t="s">
        <v>216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BlockTypes</vt:lpstr>
      <vt:lpstr>BaseTypes</vt:lpstr>
      <vt:lpstr>UI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2013-08-31T00:09:39Z</dcterms:modified>
</cp:coreProperties>
</file>